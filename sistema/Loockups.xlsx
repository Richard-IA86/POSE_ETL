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Planif_POSE\data\sistema\"/>
    </mc:Choice>
  </mc:AlternateContent>
  <xr:revisionPtr revIDLastSave="0" documentId="13_ncr:1_{EF6D0143-E1AA-404D-B661-A93C58A9EDE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ipComp" sheetId="1" r:id="rId1"/>
    <sheet name="Equivalencias_DescObras" sheetId="2" r:id="rId2"/>
    <sheet name="Obras_Gerencias" sheetId="3" r:id="rId3"/>
    <sheet name="Hoja1" sheetId="4" r:id="rId4"/>
    <sheet name="Fuente" sheetId="5" r:id="rId5"/>
    <sheet name="TipoCambio" sheetId="6" r:id="rId6"/>
    <sheet name="Excepciones_Gerencia" sheetId="7" r:id="rId7"/>
    <sheet name="GG_FDL_CentroCosto" sheetId="8" r:id="rId8"/>
  </sheets>
  <externalReferences>
    <externalReference r:id="rId9"/>
  </externalReferences>
  <definedNames>
    <definedName name="Equipos" localSheetId="0">[1]Tabla!#REF!</definedName>
    <definedName name="Equipos">[1]Tabla!#REF!</definedName>
    <definedName name="Movilidades" localSheetId="0">[1]Tabla!#REF!</definedName>
    <definedName name="Movilidades">[1]Tabla!#REF!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 a="1"/>
  <c r="D2" i="3" s="1"/>
  <c r="E2" i="3" s="1"/>
  <c r="D3" i="3" a="1"/>
  <c r="D3" i="3" s="1"/>
  <c r="E3" i="3" s="1"/>
  <c r="D4" i="3" a="1"/>
  <c r="D4" i="3" s="1"/>
  <c r="E4" i="3" s="1"/>
  <c r="D5" i="3" a="1"/>
  <c r="D5" i="3" s="1"/>
  <c r="E5" i="3" s="1"/>
  <c r="D6" i="3" a="1"/>
  <c r="D6" i="3" s="1"/>
  <c r="E6" i="3" s="1"/>
  <c r="D7" i="3" a="1"/>
  <c r="D7" i="3" s="1"/>
  <c r="E7" i="3" s="1"/>
  <c r="D8" i="3" a="1"/>
  <c r="D8" i="3" s="1"/>
  <c r="E8" i="3" s="1"/>
  <c r="D9" i="3" a="1"/>
  <c r="D9" i="3" s="1"/>
  <c r="E9" i="3" s="1"/>
  <c r="D10" i="3" a="1"/>
  <c r="D10" i="3" s="1"/>
  <c r="E10" i="3" s="1"/>
  <c r="D11" i="3" a="1"/>
  <c r="D11" i="3" s="1"/>
  <c r="E11" i="3" s="1"/>
  <c r="D12" i="3" a="1"/>
  <c r="D12" i="3" s="1"/>
  <c r="E12" i="3" s="1"/>
  <c r="D13" i="3" a="1"/>
  <c r="D13" i="3" s="1"/>
  <c r="E13" i="3" s="1"/>
  <c r="D14" i="3" a="1"/>
  <c r="D14" i="3" s="1"/>
  <c r="E14" i="3" s="1"/>
  <c r="D15" i="3" a="1"/>
  <c r="D15" i="3" s="1"/>
  <c r="E15" i="3" s="1"/>
  <c r="D16" i="3" a="1"/>
  <c r="D16" i="3" s="1"/>
  <c r="E16" i="3" s="1"/>
  <c r="D17" i="3" a="1"/>
  <c r="D17" i="3" s="1"/>
  <c r="E17" i="3" s="1"/>
  <c r="D18" i="3" a="1"/>
  <c r="D18" i="3" s="1"/>
  <c r="E18" i="3" s="1"/>
  <c r="D19" i="3" a="1"/>
  <c r="D19" i="3" s="1"/>
  <c r="E19" i="3" s="1"/>
  <c r="D20" i="3" a="1"/>
  <c r="D20" i="3" s="1"/>
  <c r="E20" i="3" s="1"/>
  <c r="D21" i="3" a="1"/>
  <c r="D21" i="3" s="1"/>
  <c r="E21" i="3" s="1"/>
  <c r="D22" i="3" a="1"/>
  <c r="D22" i="3" s="1"/>
  <c r="E22" i="3" s="1"/>
  <c r="D23" i="3" a="1"/>
  <c r="D23" i="3" s="1"/>
  <c r="E23" i="3" s="1"/>
  <c r="D24" i="3" a="1"/>
  <c r="D24" i="3" s="1"/>
  <c r="E24" i="3" s="1"/>
  <c r="D25" i="3" a="1"/>
  <c r="D25" i="3" s="1"/>
  <c r="E25" i="3" s="1"/>
  <c r="D26" i="3" a="1"/>
  <c r="D26" i="3" s="1"/>
  <c r="E26" i="3" s="1"/>
  <c r="D27" i="3" a="1"/>
  <c r="D27" i="3" s="1"/>
  <c r="E27" i="3" s="1"/>
  <c r="D28" i="3" a="1"/>
  <c r="D28" i="3" s="1"/>
  <c r="E28" i="3" s="1"/>
  <c r="D29" i="3" a="1"/>
  <c r="D29" i="3" s="1"/>
  <c r="E29" i="3" s="1"/>
  <c r="D30" i="3" a="1"/>
  <c r="D30" i="3" s="1"/>
  <c r="E30" i="3" s="1"/>
  <c r="D31" i="3" a="1"/>
  <c r="D31" i="3" s="1"/>
  <c r="E31" i="3" s="1"/>
  <c r="D32" i="3" a="1"/>
  <c r="D32" i="3" s="1"/>
  <c r="E32" i="3" s="1"/>
  <c r="D33" i="3" a="1"/>
  <c r="D33" i="3" s="1"/>
  <c r="E33" i="3" s="1"/>
  <c r="D34" i="3" a="1"/>
  <c r="D34" i="3" s="1"/>
  <c r="E34" i="3" s="1"/>
  <c r="D35" i="3" a="1"/>
  <c r="D35" i="3" s="1"/>
  <c r="E35" i="3" s="1"/>
  <c r="D36" i="3" a="1"/>
  <c r="D36" i="3" s="1"/>
  <c r="E36" i="3" s="1"/>
  <c r="D37" i="3" a="1"/>
  <c r="D37" i="3" s="1"/>
  <c r="E37" i="3" s="1"/>
  <c r="D38" i="3" a="1"/>
  <c r="D38" i="3" s="1"/>
  <c r="E38" i="3" s="1"/>
  <c r="D39" i="3" a="1"/>
  <c r="D39" i="3" s="1"/>
  <c r="E39" i="3" s="1"/>
  <c r="D40" i="3" a="1"/>
  <c r="D40" i="3" s="1"/>
  <c r="E40" i="3" s="1"/>
  <c r="D41" i="3" a="1"/>
  <c r="D41" i="3" s="1"/>
  <c r="E41" i="3" s="1"/>
  <c r="D42" i="3" a="1"/>
  <c r="D42" i="3" s="1"/>
  <c r="E42" i="3" s="1"/>
  <c r="D43" i="3" a="1"/>
  <c r="D43" i="3" s="1"/>
  <c r="E43" i="3" s="1"/>
  <c r="D44" i="3" a="1"/>
  <c r="D44" i="3" s="1"/>
  <c r="E44" i="3" s="1"/>
  <c r="D45" i="3" a="1"/>
  <c r="D45" i="3" s="1"/>
  <c r="E45" i="3" s="1"/>
  <c r="D46" i="3" a="1"/>
  <c r="D46" i="3" s="1"/>
  <c r="E46" i="3" s="1"/>
  <c r="D47" i="3" a="1"/>
  <c r="D47" i="3" s="1"/>
  <c r="E47" i="3" s="1"/>
  <c r="D48" i="3" a="1"/>
  <c r="D48" i="3" s="1"/>
  <c r="E48" i="3" s="1"/>
  <c r="D49" i="3" a="1"/>
  <c r="D49" i="3" s="1"/>
  <c r="E49" i="3" s="1"/>
  <c r="D50" i="3" a="1"/>
  <c r="D50" i="3" s="1"/>
  <c r="E50" i="3" s="1"/>
  <c r="D51" i="3" a="1"/>
  <c r="D51" i="3" s="1"/>
  <c r="E51" i="3" s="1"/>
  <c r="D52" i="3" a="1"/>
  <c r="D52" i="3" s="1"/>
  <c r="E52" i="3" s="1"/>
  <c r="D53" i="3" a="1"/>
  <c r="D53" i="3" s="1"/>
  <c r="E53" i="3" s="1"/>
  <c r="D54" i="3" a="1"/>
  <c r="D54" i="3" s="1"/>
  <c r="E54" i="3" s="1"/>
  <c r="D55" i="3" a="1"/>
  <c r="D55" i="3" s="1"/>
  <c r="E55" i="3" s="1"/>
  <c r="D56" i="3" a="1"/>
  <c r="D56" i="3" s="1"/>
  <c r="E56" i="3" s="1"/>
  <c r="D57" i="3" a="1"/>
  <c r="D57" i="3" s="1"/>
  <c r="E57" i="3" s="1"/>
  <c r="D58" i="3" a="1"/>
  <c r="D58" i="3" s="1"/>
  <c r="E58" i="3" s="1"/>
  <c r="D59" i="3" a="1"/>
  <c r="D59" i="3" s="1"/>
  <c r="E59" i="3" s="1"/>
  <c r="D60" i="3" a="1"/>
  <c r="D60" i="3" s="1"/>
  <c r="E60" i="3" s="1"/>
  <c r="D61" i="3" a="1"/>
  <c r="D61" i="3" s="1"/>
  <c r="E61" i="3" s="1"/>
  <c r="D62" i="3" a="1"/>
  <c r="D62" i="3" s="1"/>
  <c r="E62" i="3" s="1"/>
  <c r="D63" i="3" a="1"/>
  <c r="D63" i="3" s="1"/>
  <c r="E63" i="3" s="1"/>
  <c r="D64" i="3" a="1"/>
  <c r="D64" i="3" s="1"/>
  <c r="E64" i="3" s="1"/>
  <c r="D65" i="3" a="1"/>
  <c r="D65" i="3" s="1"/>
  <c r="E65" i="3" s="1"/>
  <c r="D66" i="3" a="1"/>
  <c r="D66" i="3" s="1"/>
  <c r="E66" i="3" s="1"/>
  <c r="D67" i="3" a="1"/>
  <c r="D67" i="3" s="1"/>
  <c r="E67" i="3" s="1"/>
  <c r="D68" i="3" a="1"/>
  <c r="D68" i="3" s="1"/>
  <c r="E68" i="3" s="1"/>
  <c r="D69" i="3" a="1"/>
  <c r="D69" i="3" s="1"/>
  <c r="E69" i="3" s="1"/>
  <c r="D70" i="3" a="1"/>
  <c r="D70" i="3" s="1"/>
  <c r="E70" i="3" s="1"/>
  <c r="D71" i="3" a="1"/>
  <c r="D71" i="3" s="1"/>
  <c r="E71" i="3" s="1"/>
  <c r="D72" i="3" a="1"/>
  <c r="D72" i="3" s="1"/>
  <c r="E72" i="3" s="1"/>
  <c r="D73" i="3" a="1"/>
  <c r="D73" i="3" s="1"/>
  <c r="E73" i="3" s="1"/>
  <c r="D74" i="3" a="1"/>
  <c r="D74" i="3" s="1"/>
  <c r="E74" i="3" s="1"/>
  <c r="D75" i="3" a="1"/>
  <c r="D75" i="3" s="1"/>
  <c r="E75" i="3" s="1"/>
  <c r="D76" i="3" a="1"/>
  <c r="D76" i="3" s="1"/>
  <c r="E76" i="3" s="1"/>
  <c r="D77" i="3" a="1"/>
  <c r="D77" i="3" s="1"/>
  <c r="E77" i="3" s="1"/>
  <c r="D78" i="3" a="1"/>
  <c r="D78" i="3" s="1"/>
  <c r="E78" i="3" s="1"/>
  <c r="D79" i="3" a="1"/>
  <c r="D79" i="3" s="1"/>
  <c r="E79" i="3" s="1"/>
  <c r="D80" i="3" a="1"/>
  <c r="D80" i="3" s="1"/>
  <c r="E80" i="3" s="1"/>
  <c r="D81" i="3" a="1"/>
  <c r="D81" i="3" s="1"/>
  <c r="E81" i="3" s="1"/>
  <c r="D82" i="3" a="1"/>
  <c r="D82" i="3" s="1"/>
  <c r="E82" i="3" s="1"/>
  <c r="D83" i="3" a="1"/>
  <c r="D83" i="3" s="1"/>
  <c r="E83" i="3" s="1"/>
  <c r="D84" i="3" a="1"/>
  <c r="D84" i="3" s="1"/>
  <c r="E84" i="3" s="1"/>
  <c r="D85" i="3" a="1"/>
  <c r="D85" i="3" s="1"/>
  <c r="E85" i="3" s="1"/>
  <c r="D86" i="3" a="1"/>
  <c r="D86" i="3" s="1"/>
  <c r="E86" i="3" s="1"/>
  <c r="D87" i="3" a="1"/>
  <c r="D87" i="3" s="1"/>
  <c r="E87" i="3" s="1"/>
  <c r="D88" i="3" a="1"/>
  <c r="D88" i="3" s="1"/>
  <c r="E88" i="3" s="1"/>
  <c r="D89" i="3" a="1"/>
  <c r="D89" i="3" s="1"/>
  <c r="E89" i="3" s="1"/>
  <c r="D90" i="3" a="1"/>
  <c r="D90" i="3" s="1"/>
  <c r="E90" i="3" s="1"/>
  <c r="D91" i="3" a="1"/>
  <c r="D91" i="3" s="1"/>
  <c r="E91" i="3" s="1"/>
  <c r="D92" i="3" a="1"/>
  <c r="D92" i="3" s="1"/>
  <c r="E92" i="3" s="1"/>
  <c r="D93" i="3" a="1"/>
  <c r="D93" i="3" s="1"/>
  <c r="E93" i="3" s="1"/>
  <c r="D94" i="3" a="1"/>
  <c r="D94" i="3" s="1"/>
  <c r="E94" i="3" s="1"/>
  <c r="D95" i="3" a="1"/>
  <c r="D95" i="3" s="1"/>
  <c r="E95" i="3" s="1"/>
  <c r="D96" i="3" a="1"/>
  <c r="D96" i="3" s="1"/>
  <c r="E96" i="3" s="1"/>
  <c r="D97" i="3" a="1"/>
  <c r="D97" i="3" s="1"/>
  <c r="E97" i="3" s="1"/>
  <c r="D98" i="3" a="1"/>
  <c r="D98" i="3" s="1"/>
  <c r="E98" i="3" s="1"/>
  <c r="D99" i="3" a="1"/>
  <c r="D99" i="3" s="1"/>
  <c r="E99" i="3" s="1"/>
  <c r="D100" i="3" a="1"/>
  <c r="D100" i="3" s="1"/>
  <c r="E100" i="3" s="1"/>
  <c r="D101" i="3" a="1"/>
  <c r="D101" i="3" s="1"/>
  <c r="E101" i="3" s="1"/>
  <c r="D102" i="3" a="1"/>
  <c r="D102" i="3" s="1"/>
  <c r="E102" i="3" s="1"/>
  <c r="D103" i="3" a="1"/>
  <c r="D103" i="3" s="1"/>
  <c r="E103" i="3" s="1"/>
  <c r="D104" i="3" a="1"/>
  <c r="D104" i="3" s="1"/>
  <c r="E104" i="3" s="1"/>
  <c r="D105" i="3" a="1"/>
  <c r="D105" i="3" s="1"/>
  <c r="E105" i="3" s="1"/>
  <c r="D106" i="3" a="1"/>
  <c r="D106" i="3" s="1"/>
  <c r="E106" i="3" s="1"/>
  <c r="D107" i="3" a="1"/>
  <c r="D107" i="3" s="1"/>
  <c r="E107" i="3" s="1"/>
  <c r="D108" i="3" a="1"/>
  <c r="D108" i="3" s="1"/>
  <c r="E108" i="3" s="1"/>
  <c r="D109" i="3" a="1"/>
  <c r="D109" i="3" s="1"/>
  <c r="E109" i="3" s="1"/>
  <c r="D110" i="3" a="1"/>
  <c r="D110" i="3" s="1"/>
  <c r="E110" i="3" s="1"/>
  <c r="D111" i="3" a="1"/>
  <c r="D111" i="3" s="1"/>
  <c r="E111" i="3" s="1"/>
  <c r="D112" i="3" a="1"/>
  <c r="D112" i="3" s="1"/>
  <c r="E112" i="3" s="1"/>
  <c r="D113" i="3" a="1"/>
  <c r="D113" i="3" s="1"/>
  <c r="E113" i="3" s="1"/>
  <c r="D114" i="3" a="1"/>
  <c r="D114" i="3" s="1"/>
  <c r="E114" i="3" s="1"/>
  <c r="D115" i="3" a="1"/>
  <c r="D115" i="3" s="1"/>
  <c r="E115" i="3" s="1"/>
  <c r="D116" i="3" a="1"/>
  <c r="D116" i="3" s="1"/>
  <c r="E116" i="3" s="1"/>
  <c r="D117" i="3" a="1"/>
  <c r="D117" i="3" s="1"/>
  <c r="E117" i="3" s="1"/>
  <c r="D118" i="3" a="1"/>
  <c r="D118" i="3" s="1"/>
  <c r="E118" i="3" s="1"/>
  <c r="D119" i="3" a="1"/>
  <c r="D119" i="3" s="1"/>
  <c r="E119" i="3" s="1"/>
  <c r="D120" i="3" a="1"/>
  <c r="D120" i="3" s="1"/>
  <c r="E120" i="3" s="1"/>
  <c r="D121" i="3" a="1"/>
  <c r="D121" i="3" s="1"/>
  <c r="E121" i="3" s="1"/>
  <c r="D122" i="3" a="1"/>
  <c r="D122" i="3" s="1"/>
  <c r="E122" i="3" s="1"/>
  <c r="D123" i="3" a="1"/>
  <c r="D123" i="3" s="1"/>
  <c r="E123" i="3" s="1"/>
  <c r="D124" i="3" a="1"/>
  <c r="D124" i="3" s="1"/>
  <c r="E124" i="3" s="1"/>
  <c r="D125" i="3" a="1"/>
  <c r="D125" i="3" s="1"/>
  <c r="E125" i="3" s="1"/>
  <c r="D126" i="3" a="1"/>
  <c r="D126" i="3" s="1"/>
  <c r="E126" i="3" s="1"/>
  <c r="D127" i="3" a="1"/>
  <c r="D127" i="3" s="1"/>
  <c r="E127" i="3" s="1"/>
  <c r="D128" i="3" a="1"/>
  <c r="D128" i="3" s="1"/>
  <c r="E128" i="3" s="1"/>
  <c r="D129" i="3" a="1"/>
  <c r="D129" i="3" s="1"/>
  <c r="E129" i="3" s="1"/>
  <c r="D130" i="3" a="1"/>
  <c r="D130" i="3" s="1"/>
  <c r="E130" i="3" s="1"/>
  <c r="D131" i="3" a="1"/>
  <c r="D131" i="3" s="1"/>
  <c r="E131" i="3" s="1"/>
  <c r="D132" i="3" a="1"/>
  <c r="D132" i="3" s="1"/>
  <c r="E132" i="3" s="1"/>
  <c r="D133" i="3" a="1"/>
  <c r="D133" i="3" s="1"/>
  <c r="E133" i="3" s="1"/>
  <c r="D134" i="3" a="1"/>
  <c r="D134" i="3" s="1"/>
  <c r="E134" i="3" s="1"/>
  <c r="D135" i="3" a="1"/>
  <c r="D135" i="3" s="1"/>
  <c r="E135" i="3" s="1"/>
  <c r="D136" i="3" a="1"/>
  <c r="D136" i="3" s="1"/>
  <c r="E136" i="3" s="1"/>
  <c r="D137" i="3" a="1"/>
  <c r="D137" i="3" s="1"/>
  <c r="E137" i="3" s="1"/>
  <c r="D138" i="3" a="1"/>
  <c r="D138" i="3" s="1"/>
  <c r="E138" i="3" s="1"/>
  <c r="D139" i="3" a="1"/>
  <c r="D139" i="3" s="1"/>
  <c r="E139" i="3" s="1"/>
  <c r="D140" i="3" a="1"/>
  <c r="D140" i="3" s="1"/>
  <c r="E140" i="3" s="1"/>
  <c r="D141" i="3" a="1"/>
  <c r="D141" i="3" s="1"/>
  <c r="E141" i="3" s="1"/>
  <c r="D142" i="3" a="1"/>
  <c r="D142" i="3" s="1"/>
  <c r="E142" i="3" s="1"/>
  <c r="D143" i="3" a="1"/>
  <c r="D143" i="3" s="1"/>
  <c r="E143" i="3" s="1"/>
  <c r="D144" i="3" a="1"/>
  <c r="D144" i="3" s="1"/>
  <c r="E144" i="3" s="1"/>
  <c r="D145" i="3" a="1"/>
  <c r="D145" i="3" s="1"/>
  <c r="E145" i="3" s="1"/>
  <c r="D146" i="3" a="1"/>
  <c r="D146" i="3" s="1"/>
  <c r="E146" i="3" s="1"/>
  <c r="D147" i="3" a="1"/>
  <c r="D147" i="3" s="1"/>
  <c r="E147" i="3" s="1"/>
  <c r="D148" i="3" a="1"/>
  <c r="D148" i="3" s="1"/>
  <c r="E148" i="3" s="1"/>
  <c r="D149" i="3" a="1"/>
  <c r="D149" i="3" s="1"/>
  <c r="E149" i="3" s="1"/>
  <c r="D150" i="3" a="1"/>
  <c r="D150" i="3" s="1"/>
  <c r="E150" i="3" s="1"/>
  <c r="D151" i="3" a="1"/>
  <c r="D151" i="3" s="1"/>
  <c r="E151" i="3" s="1"/>
  <c r="D152" i="3" a="1"/>
  <c r="D152" i="3"/>
  <c r="E152" i="3" s="1"/>
  <c r="D153" i="3" a="1"/>
  <c r="D153" i="3"/>
  <c r="E153" i="3" s="1"/>
  <c r="D154" i="3" a="1"/>
  <c r="D154" i="3"/>
  <c r="E154" i="3" s="1"/>
  <c r="D155" i="3" a="1"/>
  <c r="D155" i="3" s="1"/>
  <c r="E155" i="3" s="1"/>
  <c r="D156" i="3" a="1"/>
  <c r="D156" i="3" s="1"/>
  <c r="E156" i="3" s="1"/>
  <c r="D157" i="3" a="1"/>
  <c r="D157" i="3" s="1"/>
  <c r="E157" i="3" s="1"/>
  <c r="D158" i="3" a="1"/>
  <c r="D158" i="3" s="1"/>
  <c r="E158" i="3" s="1"/>
  <c r="D159" i="3" a="1"/>
  <c r="D159" i="3"/>
  <c r="E159" i="3" s="1"/>
  <c r="D160" i="3" a="1"/>
  <c r="D160" i="3"/>
  <c r="E160" i="3" s="1"/>
  <c r="D161" i="3" a="1"/>
  <c r="D161" i="3"/>
  <c r="E161" i="3" s="1"/>
  <c r="D162" i="3" a="1"/>
  <c r="D162" i="3"/>
  <c r="E162" i="3" s="1"/>
  <c r="D163" i="3" a="1"/>
  <c r="D163" i="3"/>
  <c r="E163" i="3" s="1"/>
  <c r="D164" i="3" a="1"/>
  <c r="D164" i="3" s="1"/>
  <c r="E164" i="3" s="1"/>
  <c r="D165" i="3" a="1"/>
  <c r="D165" i="3" s="1"/>
  <c r="E165" i="3" s="1"/>
  <c r="D166" i="3" a="1"/>
  <c r="D166" i="3"/>
  <c r="E166" i="3" s="1"/>
  <c r="D167" i="3" a="1"/>
  <c r="D167" i="3"/>
  <c r="E167" i="3" s="1"/>
  <c r="D168" i="3" a="1"/>
  <c r="D168" i="3" s="1"/>
  <c r="E168" i="3" s="1"/>
  <c r="D169" i="3" a="1"/>
  <c r="D169" i="3" s="1"/>
  <c r="E169" i="3" s="1"/>
  <c r="D170" i="3" a="1"/>
  <c r="D170" i="3" s="1"/>
  <c r="E170" i="3" s="1"/>
  <c r="D171" i="3" a="1"/>
  <c r="D171" i="3" s="1"/>
  <c r="E171" i="3" s="1"/>
  <c r="D172" i="3" a="1"/>
  <c r="D172" i="3" s="1"/>
  <c r="E172" i="3" s="1"/>
  <c r="D173" i="3" a="1"/>
  <c r="D173" i="3" s="1"/>
  <c r="E173" i="3" s="1"/>
  <c r="D174" i="3" a="1"/>
  <c r="D174" i="3" s="1"/>
  <c r="E174" i="3" s="1"/>
  <c r="D175" i="3" a="1"/>
  <c r="D175" i="3" s="1"/>
  <c r="E175" i="3" s="1"/>
  <c r="D176" i="3" a="1"/>
  <c r="D176" i="3" s="1"/>
  <c r="E176" i="3" s="1"/>
  <c r="D177" i="3" a="1"/>
  <c r="D177" i="3" s="1"/>
  <c r="E177" i="3" s="1"/>
  <c r="D178" i="3" a="1"/>
  <c r="D178" i="3" s="1"/>
  <c r="E178" i="3" s="1"/>
  <c r="D179" i="3" a="1"/>
  <c r="D179" i="3" s="1"/>
  <c r="E179" i="3" s="1"/>
  <c r="D180" i="3" a="1"/>
  <c r="D180" i="3" s="1"/>
  <c r="E180" i="3" s="1"/>
  <c r="D181" i="3" a="1"/>
  <c r="D181" i="3" s="1"/>
  <c r="E181" i="3" s="1"/>
  <c r="D182" i="3" a="1"/>
  <c r="D182" i="3" s="1"/>
  <c r="E182" i="3" s="1"/>
  <c r="D183" i="3" a="1"/>
  <c r="D183" i="3" s="1"/>
  <c r="E183" i="3" s="1"/>
  <c r="D184" i="3" a="1"/>
  <c r="D184" i="3" s="1"/>
  <c r="E184" i="3" s="1"/>
  <c r="D185" i="3" a="1"/>
  <c r="D185" i="3" s="1"/>
  <c r="E185" i="3" s="1"/>
  <c r="D186" i="3" a="1"/>
  <c r="D186" i="3" s="1"/>
  <c r="E186" i="3" s="1"/>
  <c r="D187" i="3" a="1"/>
  <c r="D187" i="3" s="1"/>
  <c r="E187" i="3" s="1"/>
  <c r="D188" i="3" a="1"/>
  <c r="D188" i="3" s="1"/>
  <c r="E188" i="3" s="1"/>
  <c r="D189" i="3" a="1"/>
  <c r="D189" i="3" s="1"/>
  <c r="E189" i="3" s="1"/>
  <c r="D190" i="3" a="1"/>
  <c r="D190" i="3" s="1"/>
  <c r="E190" i="3" s="1"/>
  <c r="D191" i="3" a="1"/>
  <c r="D191" i="3"/>
  <c r="E191" i="3" s="1"/>
  <c r="D192" i="3" a="1"/>
  <c r="D192" i="3" s="1"/>
  <c r="E192" i="3" s="1"/>
  <c r="D193" i="3" a="1"/>
  <c r="D193" i="3" s="1"/>
  <c r="E193" i="3" s="1"/>
  <c r="D194" i="3" a="1"/>
  <c r="D194" i="3" s="1"/>
  <c r="E194" i="3" s="1"/>
  <c r="D195" i="3" a="1"/>
  <c r="D195" i="3" s="1"/>
  <c r="E195" i="3" s="1"/>
  <c r="D196" i="3" a="1"/>
  <c r="D196" i="3"/>
  <c r="E196" i="3" s="1"/>
  <c r="D197" i="3" a="1"/>
  <c r="D197" i="3" s="1"/>
  <c r="E197" i="3" s="1"/>
  <c r="D198" i="3" a="1"/>
  <c r="D198" i="3" s="1"/>
  <c r="E198" i="3" s="1"/>
  <c r="D199" i="3" a="1"/>
  <c r="D199" i="3" s="1"/>
  <c r="E199" i="3" s="1"/>
  <c r="D200" i="3" a="1"/>
  <c r="D200" i="3" s="1"/>
  <c r="E200" i="3" s="1"/>
  <c r="D201" i="3" a="1"/>
  <c r="D201" i="3" s="1"/>
  <c r="E201" i="3" s="1"/>
  <c r="D202" i="3" a="1"/>
  <c r="D202" i="3" s="1"/>
  <c r="E202" i="3" s="1"/>
  <c r="D203" i="3" a="1"/>
  <c r="D203" i="3" s="1"/>
  <c r="E203" i="3" s="1"/>
  <c r="D204" i="3" a="1"/>
  <c r="D204" i="3"/>
  <c r="E204" i="3" s="1"/>
  <c r="D205" i="3" a="1"/>
  <c r="D205" i="3" s="1"/>
  <c r="E205" i="3" s="1"/>
  <c r="D206" i="3" a="1"/>
  <c r="D206" i="3" s="1"/>
  <c r="E206" i="3" s="1"/>
  <c r="D207" i="3" a="1"/>
  <c r="D207" i="3" s="1"/>
  <c r="E207" i="3" s="1"/>
  <c r="D208" i="3" a="1"/>
  <c r="D208" i="3" s="1"/>
  <c r="E208" i="3" s="1"/>
  <c r="D209" i="3" a="1"/>
  <c r="D209" i="3" s="1"/>
  <c r="E209" i="3" s="1"/>
  <c r="D210" i="3" a="1"/>
  <c r="D210" i="3" s="1"/>
  <c r="E210" i="3" s="1"/>
  <c r="D211" i="3" a="1"/>
  <c r="D211" i="3" s="1"/>
  <c r="E211" i="3" s="1"/>
  <c r="D212" i="3" a="1"/>
  <c r="D212" i="3"/>
  <c r="E212" i="3" s="1"/>
  <c r="D213" i="3" a="1"/>
  <c r="D213" i="3"/>
  <c r="E213" i="3" s="1"/>
  <c r="D214" i="3" a="1"/>
  <c r="D214" i="3" s="1"/>
  <c r="E214" i="3" s="1"/>
  <c r="D215" i="3" a="1"/>
  <c r="D215" i="3" s="1"/>
  <c r="E215" i="3" s="1"/>
  <c r="D216" i="3" a="1"/>
  <c r="D216" i="3" s="1"/>
  <c r="E216" i="3" s="1"/>
  <c r="D217" i="3" a="1"/>
  <c r="D217" i="3" s="1"/>
  <c r="E217" i="3" s="1"/>
  <c r="D218" i="3" a="1"/>
  <c r="D218" i="3" s="1"/>
  <c r="E218" i="3" s="1"/>
  <c r="D219" i="3" a="1"/>
  <c r="D219" i="3" s="1"/>
  <c r="E219" i="3" s="1"/>
  <c r="D220" i="3" a="1"/>
  <c r="D220" i="3" s="1"/>
  <c r="E220" i="3" s="1"/>
  <c r="D221" i="3" a="1"/>
  <c r="D221" i="3" s="1"/>
  <c r="E221" i="3" s="1"/>
  <c r="D222" i="3" a="1"/>
  <c r="D222" i="3" s="1"/>
  <c r="E222" i="3" s="1"/>
  <c r="D223" i="3" a="1"/>
  <c r="D223" i="3" s="1"/>
  <c r="E223" i="3" s="1"/>
  <c r="D224" i="3" a="1"/>
  <c r="D224" i="3" s="1"/>
  <c r="E224" i="3" s="1"/>
  <c r="D225" i="3" a="1"/>
  <c r="D225" i="3" s="1"/>
  <c r="E225" i="3" s="1"/>
  <c r="D226" i="3" a="1"/>
  <c r="D226" i="3" s="1"/>
  <c r="E226" i="3" s="1"/>
  <c r="D227" i="3" a="1"/>
  <c r="D227" i="3" s="1"/>
  <c r="E227" i="3" s="1"/>
  <c r="D228" i="3" a="1"/>
  <c r="D228" i="3" s="1"/>
  <c r="E228" i="3" s="1"/>
  <c r="D229" i="3" a="1"/>
  <c r="D229" i="3" s="1"/>
  <c r="E229" i="3" s="1"/>
  <c r="D230" i="3" a="1"/>
  <c r="D230" i="3" s="1"/>
  <c r="E230" i="3" s="1"/>
  <c r="D231" i="3" a="1"/>
  <c r="D231" i="3" s="1"/>
  <c r="E231" i="3" s="1"/>
  <c r="D232" i="3" a="1"/>
  <c r="D232" i="3" s="1"/>
  <c r="E232" i="3" s="1"/>
  <c r="D233" i="3" a="1"/>
  <c r="D233" i="3" s="1"/>
  <c r="E233" i="3" s="1"/>
  <c r="D234" i="3" a="1"/>
  <c r="D234" i="3" s="1"/>
  <c r="E234" i="3" s="1"/>
  <c r="D235" i="3" a="1"/>
  <c r="D235" i="3" s="1"/>
  <c r="E235" i="3" s="1"/>
  <c r="D236" i="3" a="1"/>
  <c r="D236" i="3" s="1"/>
  <c r="E236" i="3" s="1"/>
  <c r="D237" i="3" a="1"/>
  <c r="D237" i="3" s="1"/>
  <c r="E237" i="3" s="1"/>
  <c r="D238" i="3" a="1"/>
  <c r="D238" i="3" s="1"/>
  <c r="E238" i="3" s="1"/>
  <c r="D239" i="3" a="1"/>
  <c r="D239" i="3" s="1"/>
  <c r="E239" i="3" s="1"/>
  <c r="D240" i="3" a="1"/>
  <c r="D240" i="3" s="1"/>
  <c r="E240" i="3" s="1"/>
  <c r="D241" i="3" a="1"/>
  <c r="D241" i="3" s="1"/>
  <c r="E241" i="3" s="1"/>
  <c r="D242" i="3" a="1"/>
  <c r="D242" i="3" s="1"/>
  <c r="E242" i="3" s="1"/>
  <c r="D243" i="3" a="1"/>
  <c r="D243" i="3" s="1"/>
  <c r="E243" i="3" s="1"/>
  <c r="D244" i="3" a="1"/>
  <c r="D244" i="3" s="1"/>
  <c r="E244" i="3" s="1"/>
  <c r="D245" i="3" a="1"/>
  <c r="D245" i="3" s="1"/>
  <c r="E245" i="3" s="1"/>
  <c r="D246" i="3" a="1"/>
  <c r="D246" i="3" s="1"/>
  <c r="E246" i="3" s="1"/>
  <c r="D247" i="3" a="1"/>
  <c r="D247" i="3" s="1"/>
  <c r="E247" i="3" s="1"/>
  <c r="D248" i="3" a="1"/>
  <c r="D248" i="3" s="1"/>
  <c r="E248" i="3" s="1"/>
  <c r="D249" i="3" a="1"/>
  <c r="D249" i="3" s="1"/>
  <c r="E249" i="3" s="1"/>
  <c r="D250" i="3" a="1"/>
  <c r="D250" i="3" s="1"/>
  <c r="E250" i="3" s="1"/>
  <c r="D251" i="3" a="1"/>
  <c r="D251" i="3" s="1"/>
  <c r="E251" i="3" s="1"/>
  <c r="D252" i="3" a="1"/>
  <c r="D252" i="3" s="1"/>
  <c r="E252" i="3" s="1"/>
  <c r="D253" i="3" a="1"/>
  <c r="D253" i="3" s="1"/>
  <c r="E253" i="3" s="1"/>
  <c r="D254" i="3" a="1"/>
  <c r="D254" i="3" s="1"/>
  <c r="E254" i="3" s="1"/>
  <c r="D255" i="3" a="1"/>
  <c r="D255" i="3" s="1"/>
  <c r="E255" i="3" s="1"/>
  <c r="D256" i="3" a="1"/>
  <c r="D256" i="3" s="1"/>
  <c r="E256" i="3" s="1"/>
  <c r="D257" i="3" a="1"/>
  <c r="D257" i="3" s="1"/>
  <c r="E257" i="3" s="1"/>
  <c r="D258" i="3" a="1"/>
  <c r="D258" i="3" s="1"/>
  <c r="E258" i="3" s="1"/>
  <c r="D259" i="3" a="1"/>
  <c r="D259" i="3" s="1"/>
  <c r="E259" i="3" s="1"/>
  <c r="D260" i="3" a="1"/>
  <c r="D260" i="3" s="1"/>
  <c r="E260" i="3" s="1"/>
  <c r="D261" i="3" a="1"/>
  <c r="D261" i="3" s="1"/>
  <c r="E261" i="3" s="1"/>
  <c r="D262" i="3" a="1"/>
  <c r="D262" i="3" s="1"/>
  <c r="E262" i="3" s="1"/>
  <c r="D263" i="3" a="1"/>
  <c r="D263" i="3" s="1"/>
  <c r="E263" i="3" s="1"/>
  <c r="D264" i="3" a="1"/>
  <c r="D264" i="3" s="1"/>
  <c r="E264" i="3" s="1"/>
  <c r="D265" i="3" a="1"/>
  <c r="D265" i="3" s="1"/>
  <c r="E265" i="3" s="1"/>
  <c r="D266" i="3" a="1"/>
  <c r="D266" i="3" s="1"/>
  <c r="E266" i="3" s="1"/>
  <c r="D267" i="3" a="1"/>
  <c r="D267" i="3" s="1"/>
  <c r="E267" i="3" s="1"/>
  <c r="D268" i="3" a="1"/>
  <c r="D268" i="3" s="1"/>
  <c r="E268" i="3" s="1"/>
  <c r="D269" i="3" a="1"/>
  <c r="D269" i="3" s="1"/>
  <c r="E269" i="3" s="1"/>
  <c r="D270" i="3" a="1"/>
  <c r="D270" i="3" s="1"/>
  <c r="E270" i="3" s="1"/>
  <c r="D271" i="3" a="1"/>
  <c r="D271" i="3" s="1"/>
  <c r="E271" i="3" s="1"/>
  <c r="D272" i="3" a="1"/>
  <c r="D272" i="3" s="1"/>
  <c r="E272" i="3" s="1"/>
  <c r="D273" i="3" a="1"/>
  <c r="D273" i="3" s="1"/>
  <c r="E273" i="3" s="1"/>
  <c r="D274" i="3" a="1"/>
  <c r="D274" i="3" s="1"/>
  <c r="E274" i="3" s="1"/>
  <c r="D275" i="3" a="1"/>
  <c r="D275" i="3" s="1"/>
  <c r="E275" i="3" s="1"/>
  <c r="D276" i="3" a="1"/>
  <c r="D276" i="3" s="1"/>
  <c r="E276" i="3" s="1"/>
  <c r="D277" i="3" a="1"/>
  <c r="D277" i="3" s="1"/>
  <c r="E277" i="3" s="1"/>
  <c r="D278" i="3" a="1"/>
  <c r="D278" i="3" s="1"/>
  <c r="E278" i="3" s="1"/>
  <c r="D279" i="3" a="1"/>
  <c r="D279" i="3" s="1"/>
  <c r="E279" i="3" s="1"/>
  <c r="D280" i="3" a="1"/>
  <c r="D280" i="3" s="1"/>
  <c r="E280" i="3" s="1"/>
  <c r="D281" i="3" a="1"/>
  <c r="D281" i="3" s="1"/>
  <c r="E281" i="3" s="1"/>
  <c r="D282" i="3" a="1"/>
  <c r="D282" i="3" s="1"/>
  <c r="E282" i="3" s="1"/>
  <c r="D283" i="3" a="1"/>
  <c r="D283" i="3" s="1"/>
  <c r="E283" i="3" s="1"/>
  <c r="D284" i="3" a="1"/>
  <c r="D284" i="3" s="1"/>
  <c r="E284" i="3" s="1"/>
  <c r="D285" i="3" a="1"/>
  <c r="D285" i="3" s="1"/>
  <c r="E285" i="3" s="1"/>
  <c r="D286" i="3" a="1"/>
  <c r="D286" i="3" s="1"/>
  <c r="E286" i="3" s="1"/>
  <c r="D287" i="3" a="1"/>
  <c r="D287" i="3" s="1"/>
  <c r="E287" i="3" s="1"/>
  <c r="D288" i="3" a="1"/>
  <c r="D288" i="3" s="1"/>
  <c r="E288" i="3" s="1"/>
  <c r="D289" i="3" a="1"/>
  <c r="D289" i="3" s="1"/>
  <c r="E289" i="3" s="1"/>
  <c r="D290" i="3" a="1"/>
  <c r="D290" i="3" s="1"/>
  <c r="E290" i="3" s="1"/>
  <c r="D291" i="3" a="1"/>
  <c r="D291" i="3" s="1"/>
  <c r="E291" i="3" s="1"/>
  <c r="D292" i="3" a="1"/>
  <c r="D292" i="3" s="1"/>
  <c r="E292" i="3" s="1"/>
  <c r="D293" i="3" a="1"/>
  <c r="D293" i="3"/>
  <c r="E293" i="3" s="1"/>
  <c r="D294" i="3" a="1"/>
  <c r="D294" i="3"/>
  <c r="E294" i="3" s="1"/>
  <c r="D295" i="3" a="1"/>
  <c r="D295" i="3"/>
  <c r="E295" i="3" s="1"/>
  <c r="D296" i="3" a="1"/>
  <c r="D296" i="3"/>
  <c r="E296" i="3" s="1"/>
  <c r="D297" i="3" a="1"/>
  <c r="D297" i="3" s="1"/>
  <c r="E297" i="3" s="1"/>
  <c r="D298" i="3" a="1"/>
  <c r="D298" i="3" s="1"/>
  <c r="E298" i="3" s="1"/>
  <c r="D299" i="3" a="1"/>
  <c r="D299" i="3"/>
  <c r="E299" i="3" s="1"/>
  <c r="D300" i="3" a="1"/>
  <c r="D300" i="3"/>
  <c r="E300" i="3" s="1"/>
  <c r="D301" i="3" a="1"/>
  <c r="D301" i="3"/>
  <c r="E301" i="3" s="1"/>
  <c r="D302" i="3" a="1"/>
  <c r="D302" i="3" s="1"/>
  <c r="E302" i="3" s="1"/>
  <c r="D303" i="3" a="1"/>
  <c r="D303" i="3" s="1"/>
  <c r="E303" i="3" s="1"/>
  <c r="D304" i="3" a="1"/>
  <c r="D304" i="3" s="1"/>
  <c r="E304" i="3" s="1"/>
  <c r="D305" i="3" a="1"/>
  <c r="D305" i="3" s="1"/>
  <c r="E305" i="3" s="1"/>
  <c r="D306" i="3" a="1"/>
  <c r="D306" i="3" s="1"/>
  <c r="E306" i="3" s="1"/>
  <c r="D307" i="3" a="1"/>
  <c r="D307" i="3" s="1"/>
  <c r="E307" i="3" s="1"/>
  <c r="D308" i="3" a="1"/>
  <c r="D308" i="3" s="1"/>
  <c r="E308" i="3" s="1"/>
  <c r="D309" i="3" a="1"/>
  <c r="D309" i="3" s="1"/>
  <c r="E309" i="3" s="1"/>
  <c r="D310" i="3" a="1"/>
  <c r="D310" i="3" s="1"/>
  <c r="E310" i="3" s="1"/>
  <c r="D311" i="3" a="1"/>
  <c r="D311" i="3" s="1"/>
  <c r="E311" i="3" s="1"/>
  <c r="D312" i="3" a="1"/>
  <c r="D312" i="3" s="1"/>
  <c r="E312" i="3" s="1"/>
  <c r="D313" i="3" a="1"/>
  <c r="D313" i="3" s="1"/>
  <c r="E313" i="3" s="1"/>
  <c r="D314" i="3" a="1"/>
  <c r="D314" i="3" s="1"/>
  <c r="E314" i="3" s="1"/>
  <c r="D315" i="3" a="1"/>
  <c r="D315" i="3" s="1"/>
  <c r="E315" i="3" s="1"/>
  <c r="D316" i="3" a="1"/>
  <c r="D316" i="3" s="1"/>
  <c r="E316" i="3" s="1"/>
  <c r="D317" i="3" a="1"/>
  <c r="D317" i="3" s="1"/>
  <c r="E317" i="3" s="1"/>
  <c r="D318" i="3" a="1"/>
  <c r="D318" i="3" s="1"/>
  <c r="E318" i="3" s="1"/>
  <c r="D319" i="3" a="1"/>
  <c r="D319" i="3" s="1"/>
  <c r="E319" i="3" s="1"/>
  <c r="D320" i="3" a="1"/>
  <c r="D320" i="3" s="1"/>
  <c r="E320" i="3" s="1"/>
  <c r="D321" i="3" a="1"/>
  <c r="D321" i="3" s="1"/>
  <c r="E321" i="3" s="1"/>
  <c r="D322" i="3" a="1"/>
  <c r="D322" i="3" s="1"/>
  <c r="E322" i="3" s="1"/>
  <c r="D323" i="3" a="1"/>
  <c r="D323" i="3" s="1"/>
  <c r="E323" i="3" s="1"/>
  <c r="D324" i="3" a="1"/>
  <c r="D324" i="3" s="1"/>
  <c r="E324" i="3" s="1"/>
  <c r="D325" i="3" a="1"/>
  <c r="D325" i="3" s="1"/>
  <c r="E325" i="3" s="1"/>
  <c r="D326" i="3" a="1"/>
  <c r="D326" i="3" s="1"/>
  <c r="E326" i="3" s="1"/>
  <c r="D327" i="3" a="1"/>
  <c r="D327" i="3" s="1"/>
  <c r="E327" i="3" s="1"/>
  <c r="D328" i="3" a="1"/>
  <c r="D328" i="3" s="1"/>
  <c r="E328" i="3" s="1"/>
  <c r="D329" i="3" a="1"/>
  <c r="D329" i="3" s="1"/>
  <c r="E329" i="3" s="1"/>
  <c r="D330" i="3" a="1"/>
  <c r="D330" i="3" s="1"/>
  <c r="E330" i="3" s="1"/>
  <c r="D331" i="3" a="1"/>
  <c r="D331" i="3" s="1"/>
  <c r="E331" i="3" s="1"/>
  <c r="D332" i="3" a="1"/>
  <c r="D332" i="3" s="1"/>
  <c r="E332" i="3" s="1"/>
  <c r="D333" i="3" a="1"/>
  <c r="D333" i="3" s="1"/>
  <c r="E333" i="3" s="1"/>
  <c r="D334" i="3" a="1"/>
  <c r="D334" i="3" s="1"/>
  <c r="E334" i="3" s="1"/>
  <c r="D335" i="3" a="1"/>
  <c r="D335" i="3" s="1"/>
  <c r="E335" i="3" s="1"/>
  <c r="D336" i="3" a="1"/>
  <c r="D336" i="3" s="1"/>
  <c r="E336" i="3" s="1"/>
  <c r="D337" i="3" a="1"/>
  <c r="D337" i="3" s="1"/>
  <c r="E337" i="3" s="1"/>
  <c r="D338" i="3" a="1"/>
  <c r="D338" i="3" s="1"/>
  <c r="E338" i="3" s="1"/>
  <c r="D339" i="3" a="1"/>
  <c r="D339" i="3" s="1"/>
  <c r="E339" i="3" s="1"/>
  <c r="D340" i="3" a="1"/>
  <c r="D340" i="3" s="1"/>
  <c r="E340" i="3" s="1"/>
  <c r="D341" i="3" a="1"/>
  <c r="D341" i="3" s="1"/>
  <c r="E341" i="3" s="1"/>
  <c r="D342" i="3" a="1"/>
  <c r="D342" i="3" s="1"/>
  <c r="E342" i="3" s="1"/>
  <c r="D343" i="3" a="1"/>
  <c r="D343" i="3" s="1"/>
  <c r="E343" i="3" s="1"/>
  <c r="D344" i="3" a="1"/>
  <c r="D344" i="3" s="1"/>
  <c r="E344" i="3" s="1"/>
  <c r="D345" i="3" a="1"/>
  <c r="D345" i="3" s="1"/>
  <c r="E345" i="3" s="1"/>
  <c r="D346" i="3" a="1"/>
  <c r="D346" i="3" s="1"/>
  <c r="E346" i="3" s="1"/>
  <c r="D347" i="3" a="1"/>
  <c r="D347" i="3" s="1"/>
  <c r="E347" i="3" s="1"/>
  <c r="D348" i="3" a="1"/>
  <c r="D348" i="3" s="1"/>
  <c r="E348" i="3" s="1"/>
  <c r="D349" i="3" a="1"/>
  <c r="D349" i="3" s="1"/>
  <c r="E349" i="3" s="1"/>
  <c r="D350" i="3" a="1"/>
  <c r="D350" i="3" s="1"/>
  <c r="E350" i="3" s="1"/>
  <c r="D351" i="3" a="1"/>
  <c r="D351" i="3" s="1"/>
  <c r="E351" i="3" s="1"/>
  <c r="D352" i="3" a="1"/>
  <c r="D352" i="3" s="1"/>
  <c r="E352" i="3" s="1"/>
  <c r="D353" i="3" a="1"/>
  <c r="D353" i="3" s="1"/>
  <c r="E353" i="3" s="1"/>
  <c r="D354" i="3" a="1"/>
  <c r="D354" i="3" s="1"/>
  <c r="E354" i="3" s="1"/>
  <c r="D355" i="3" a="1"/>
  <c r="D355" i="3" s="1"/>
  <c r="E355" i="3" s="1"/>
  <c r="D356" i="3" a="1"/>
  <c r="D356" i="3" s="1"/>
  <c r="E356" i="3" s="1"/>
  <c r="D357" i="3" a="1"/>
  <c r="D357" i="3" s="1"/>
  <c r="E357" i="3" s="1"/>
  <c r="D358" i="3" a="1"/>
  <c r="D358" i="3" s="1"/>
  <c r="E358" i="3" s="1"/>
  <c r="D359" i="3" a="1"/>
  <c r="D359" i="3" s="1"/>
  <c r="E359" i="3" s="1"/>
  <c r="D360" i="3" a="1"/>
  <c r="D360" i="3" s="1"/>
  <c r="E360" i="3" s="1"/>
  <c r="D361" i="3" a="1"/>
  <c r="D361" i="3" s="1"/>
  <c r="E361" i="3" s="1"/>
  <c r="D362" i="3" a="1"/>
  <c r="D362" i="3" s="1"/>
  <c r="E362" i="3" s="1"/>
  <c r="D363" i="3" a="1"/>
  <c r="D363" i="3" s="1"/>
  <c r="E363" i="3" s="1"/>
  <c r="D364" i="3" a="1"/>
  <c r="D364" i="3" s="1"/>
  <c r="E364" i="3" s="1"/>
  <c r="D365" i="3" a="1"/>
  <c r="D365" i="3" s="1"/>
  <c r="E365" i="3" s="1"/>
  <c r="D366" i="3" a="1"/>
  <c r="D366" i="3" s="1"/>
  <c r="E366" i="3" s="1"/>
  <c r="D367" i="3" a="1"/>
  <c r="D367" i="3" s="1"/>
  <c r="E367" i="3" s="1"/>
  <c r="D368" i="3" a="1"/>
  <c r="D368" i="3" s="1"/>
  <c r="E368" i="3" s="1"/>
  <c r="D369" i="3" a="1"/>
  <c r="D369" i="3" s="1"/>
  <c r="E369" i="3" s="1"/>
  <c r="D370" i="3" a="1"/>
  <c r="D370" i="3" s="1"/>
  <c r="E370" i="3" s="1"/>
  <c r="D371" i="3" a="1"/>
  <c r="D371" i="3" s="1"/>
  <c r="E371" i="3" s="1"/>
  <c r="D372" i="3" a="1"/>
  <c r="D372" i="3" s="1"/>
  <c r="E372" i="3" s="1"/>
  <c r="D373" i="3" a="1"/>
  <c r="D373" i="3" s="1"/>
  <c r="E373" i="3" s="1"/>
  <c r="D374" i="3" a="1"/>
  <c r="D374" i="3" s="1"/>
  <c r="E374" i="3" s="1"/>
  <c r="D375" i="3" a="1"/>
  <c r="D375" i="3" s="1"/>
  <c r="E375" i="3" s="1"/>
  <c r="D376" i="3" a="1"/>
  <c r="D376" i="3" s="1"/>
  <c r="E376" i="3" s="1"/>
  <c r="D377" i="3" a="1"/>
  <c r="D377" i="3" s="1"/>
  <c r="E377" i="3" s="1"/>
  <c r="D378" i="3" a="1"/>
  <c r="D378" i="3" s="1"/>
  <c r="E378" i="3" s="1"/>
  <c r="D379" i="3" a="1"/>
  <c r="D379" i="3" s="1"/>
  <c r="E379" i="3" s="1"/>
  <c r="D380" i="3" a="1"/>
  <c r="D380" i="3" s="1"/>
  <c r="E380" i="3" s="1"/>
  <c r="D381" i="3" a="1"/>
  <c r="D381" i="3" s="1"/>
  <c r="E381" i="3" s="1"/>
  <c r="D382" i="3" a="1"/>
  <c r="D382" i="3" s="1"/>
  <c r="E382" i="3" s="1"/>
  <c r="D383" i="3" a="1"/>
  <c r="D383" i="3" s="1"/>
  <c r="E383" i="3" s="1"/>
  <c r="D384" i="3" a="1"/>
  <c r="D384" i="3" s="1"/>
  <c r="E384" i="3" s="1"/>
  <c r="D385" i="3" a="1"/>
  <c r="D385" i="3" s="1"/>
  <c r="E385" i="3" s="1"/>
  <c r="D386" i="3" a="1"/>
  <c r="D386" i="3" s="1"/>
  <c r="E386" i="3" s="1"/>
  <c r="D387" i="3" a="1"/>
  <c r="D387" i="3" s="1"/>
  <c r="E387" i="3" s="1"/>
  <c r="D388" i="3" a="1"/>
  <c r="D388" i="3" s="1"/>
  <c r="E388" i="3" s="1"/>
  <c r="D389" i="3" a="1"/>
  <c r="D389" i="3" s="1"/>
  <c r="E389" i="3" s="1"/>
  <c r="D390" i="3" a="1"/>
  <c r="D390" i="3" s="1"/>
  <c r="E390" i="3" s="1"/>
  <c r="D391" i="3" a="1"/>
  <c r="D391" i="3" s="1"/>
  <c r="E391" i="3" s="1"/>
  <c r="D392" i="3" a="1"/>
  <c r="D392" i="3" s="1"/>
  <c r="E392" i="3" s="1"/>
  <c r="D393" i="3" a="1"/>
  <c r="D393" i="3" s="1"/>
  <c r="E393" i="3" s="1"/>
  <c r="D394" i="3" a="1"/>
  <c r="D394" i="3" s="1"/>
  <c r="E394" i="3" s="1"/>
  <c r="D395" i="3" a="1"/>
  <c r="D395" i="3" s="1"/>
  <c r="E395" i="3" s="1"/>
  <c r="D396" i="3" a="1"/>
  <c r="D396" i="3" s="1"/>
  <c r="E396" i="3" s="1"/>
  <c r="D397" i="3" a="1"/>
  <c r="D397" i="3" s="1"/>
  <c r="E397" i="3" s="1"/>
  <c r="D398" i="3" a="1"/>
  <c r="D398" i="3" s="1"/>
  <c r="E398" i="3" s="1"/>
  <c r="D399" i="3" a="1"/>
  <c r="D399" i="3" s="1"/>
  <c r="E399" i="3" s="1"/>
  <c r="D400" i="3" a="1"/>
  <c r="D400" i="3" s="1"/>
  <c r="E400" i="3" s="1"/>
  <c r="D401" i="3" a="1"/>
  <c r="D401" i="3" s="1"/>
  <c r="E401" i="3" s="1"/>
  <c r="D402" i="3" a="1"/>
  <c r="D402" i="3" s="1"/>
  <c r="E402" i="3" s="1"/>
  <c r="D403" i="3" a="1"/>
  <c r="D403" i="3" s="1"/>
  <c r="E403" i="3" s="1"/>
  <c r="D404" i="3" a="1"/>
  <c r="D404" i="3" s="1"/>
  <c r="E404" i="3" s="1"/>
  <c r="D405" i="3" a="1"/>
  <c r="D405" i="3" s="1"/>
  <c r="E405" i="3" s="1"/>
  <c r="D406" i="3" a="1"/>
  <c r="D406" i="3" s="1"/>
  <c r="E406" i="3" s="1"/>
  <c r="D407" i="3" a="1"/>
  <c r="D407" i="3" s="1"/>
  <c r="E407" i="3" s="1"/>
  <c r="D408" i="3" a="1"/>
  <c r="D408" i="3" s="1"/>
  <c r="E408" i="3" s="1"/>
  <c r="D409" i="3" a="1"/>
  <c r="D409" i="3" s="1"/>
  <c r="E409" i="3" s="1"/>
  <c r="D410" i="3" a="1"/>
  <c r="D410" i="3" s="1"/>
  <c r="E410" i="3" s="1"/>
  <c r="D411" i="3" a="1"/>
  <c r="D411" i="3" s="1"/>
  <c r="E411" i="3" s="1"/>
  <c r="D412" i="3" a="1"/>
  <c r="D412" i="3" s="1"/>
  <c r="E412" i="3" s="1"/>
  <c r="D413" i="3" a="1"/>
  <c r="D413" i="3" s="1"/>
  <c r="E413" i="3" s="1"/>
  <c r="D414" i="3" a="1"/>
  <c r="D414" i="3" s="1"/>
  <c r="E414" i="3" s="1"/>
  <c r="D415" i="3" a="1"/>
  <c r="D415" i="3" s="1"/>
  <c r="E415" i="3" s="1"/>
  <c r="D416" i="3" a="1"/>
  <c r="D416" i="3" s="1"/>
  <c r="E416" i="3" s="1"/>
  <c r="D417" i="3" a="1"/>
  <c r="D417" i="3" s="1"/>
  <c r="E417" i="3" s="1"/>
  <c r="D418" i="3" a="1"/>
  <c r="D418" i="3" s="1"/>
  <c r="E418" i="3" s="1"/>
  <c r="D419" i="3" a="1"/>
  <c r="D419" i="3" s="1"/>
  <c r="E419" i="3" s="1"/>
  <c r="D420" i="3" a="1"/>
  <c r="D420" i="3" s="1"/>
  <c r="E420" i="3" s="1"/>
  <c r="D421" i="3" a="1"/>
  <c r="D421" i="3" s="1"/>
  <c r="E421" i="3" s="1"/>
  <c r="D422" i="3" a="1"/>
  <c r="D422" i="3" s="1"/>
  <c r="E422" i="3" s="1"/>
  <c r="D423" i="3" a="1"/>
  <c r="D423" i="3" s="1"/>
  <c r="E423" i="3" s="1"/>
  <c r="D424" i="3" a="1"/>
  <c r="D424" i="3" s="1"/>
  <c r="E424" i="3" s="1"/>
  <c r="D425" i="3" a="1"/>
  <c r="D425" i="3" s="1"/>
  <c r="E425" i="3" s="1"/>
  <c r="D426" i="3" a="1"/>
  <c r="D426" i="3" s="1"/>
  <c r="E426" i="3" s="1"/>
  <c r="D427" i="3" a="1"/>
  <c r="D427" i="3" s="1"/>
  <c r="E427" i="3" s="1"/>
  <c r="D428" i="3" a="1"/>
  <c r="D428" i="3" s="1"/>
  <c r="E428" i="3" s="1"/>
  <c r="D429" i="3" a="1"/>
  <c r="D429" i="3" s="1"/>
  <c r="E429" i="3" s="1"/>
  <c r="D430" i="3" a="1"/>
  <c r="D430" i="3" s="1"/>
  <c r="E430" i="3" s="1"/>
  <c r="D431" i="3" a="1"/>
  <c r="D431" i="3" s="1"/>
  <c r="E431" i="3" s="1"/>
  <c r="D432" i="3" a="1"/>
  <c r="D432" i="3" s="1"/>
  <c r="E432" i="3" s="1"/>
  <c r="D433" i="3" a="1"/>
  <c r="D433" i="3" s="1"/>
  <c r="E433" i="3" s="1"/>
  <c r="D434" i="3" a="1"/>
  <c r="D434" i="3" s="1"/>
  <c r="E434" i="3" s="1"/>
  <c r="D435" i="3" a="1"/>
  <c r="D435" i="3"/>
  <c r="E435" i="3" s="1"/>
  <c r="D436" i="3" a="1"/>
  <c r="D436" i="3"/>
  <c r="E436" i="3" s="1"/>
  <c r="D437" i="3" a="1"/>
  <c r="D437" i="3"/>
  <c r="E437" i="3" s="1"/>
  <c r="D438" i="3" a="1"/>
  <c r="D438" i="3"/>
  <c r="E438" i="3" s="1"/>
  <c r="D439" i="3" a="1"/>
  <c r="D439" i="3"/>
  <c r="E439" i="3" s="1"/>
  <c r="D440" i="3" a="1"/>
  <c r="D440" i="3"/>
  <c r="E440" i="3" s="1"/>
  <c r="D441" i="3" a="1"/>
  <c r="D441" i="3"/>
  <c r="E441" i="3" s="1"/>
  <c r="D442" i="3" a="1"/>
  <c r="D442" i="3"/>
  <c r="E442" i="3" s="1"/>
  <c r="D443" i="3" a="1"/>
  <c r="D443" i="3"/>
  <c r="E443" i="3" s="1"/>
  <c r="D444" i="3" a="1"/>
  <c r="D444" i="3"/>
  <c r="E444" i="3" s="1"/>
  <c r="D445" i="3" a="1"/>
  <c r="D445" i="3"/>
  <c r="E445" i="3" s="1"/>
  <c r="D446" i="3" a="1"/>
  <c r="D446" i="3" s="1"/>
  <c r="E446" i="3" s="1"/>
  <c r="D447" i="3" a="1"/>
  <c r="D447" i="3" s="1"/>
  <c r="E447" i="3" s="1"/>
  <c r="D448" i="3" a="1"/>
  <c r="D448" i="3" s="1"/>
  <c r="E448" i="3" s="1"/>
  <c r="D449" i="3" a="1"/>
  <c r="D449" i="3" s="1"/>
  <c r="E449" i="3" s="1"/>
  <c r="D450" i="3" a="1"/>
  <c r="D450" i="3" s="1"/>
  <c r="E450" i="3" s="1"/>
  <c r="D451" i="3" a="1"/>
  <c r="D451" i="3" s="1"/>
  <c r="E451" i="3" s="1"/>
  <c r="D452" i="3" a="1"/>
  <c r="D452" i="3" s="1"/>
  <c r="E452" i="3" s="1"/>
  <c r="D453" i="3" a="1"/>
  <c r="D453" i="3" s="1"/>
  <c r="E453" i="3" s="1"/>
  <c r="D454" i="3" a="1"/>
  <c r="D454" i="3" s="1"/>
  <c r="E454" i="3" s="1"/>
  <c r="D455" i="3" a="1"/>
  <c r="D455" i="3" s="1"/>
  <c r="E455" i="3" s="1"/>
  <c r="D456" i="3" a="1"/>
  <c r="D456" i="3" s="1"/>
  <c r="E456" i="3" s="1"/>
  <c r="D457" i="3" a="1"/>
  <c r="D457" i="3" s="1"/>
  <c r="E457" i="3" s="1"/>
  <c r="D458" i="3" a="1"/>
  <c r="D458" i="3" s="1"/>
  <c r="E458" i="3" s="1"/>
  <c r="D459" i="3" a="1"/>
  <c r="D459" i="3" s="1"/>
  <c r="E459" i="3" s="1"/>
  <c r="D460" i="3" a="1"/>
  <c r="D460" i="3" s="1"/>
  <c r="E460" i="3" s="1"/>
  <c r="D461" i="3" a="1"/>
  <c r="D461" i="3" s="1"/>
  <c r="E461" i="3" s="1"/>
  <c r="D462" i="3" a="1"/>
  <c r="D462" i="3" s="1"/>
  <c r="E462" i="3" s="1"/>
  <c r="D463" i="3" a="1"/>
  <c r="D463" i="3" s="1"/>
  <c r="E463" i="3" s="1"/>
  <c r="D464" i="3" a="1"/>
  <c r="D464" i="3" s="1"/>
  <c r="E464" i="3" s="1"/>
  <c r="D465" i="3" a="1"/>
  <c r="D465" i="3" s="1"/>
  <c r="E465" i="3" s="1"/>
  <c r="D466" i="3" a="1"/>
  <c r="D466" i="3" s="1"/>
  <c r="E466" i="3" s="1"/>
  <c r="D467" i="3" a="1"/>
  <c r="D467" i="3" s="1"/>
  <c r="E467" i="3" s="1"/>
  <c r="D468" i="3" a="1"/>
  <c r="D468" i="3" s="1"/>
  <c r="E468" i="3" s="1"/>
  <c r="D469" i="3" a="1"/>
  <c r="D469" i="3" s="1"/>
  <c r="E469" i="3" s="1"/>
  <c r="D470" i="3" a="1"/>
  <c r="D470" i="3" s="1"/>
  <c r="E470" i="3" s="1"/>
  <c r="D471" i="3" a="1"/>
  <c r="D471" i="3" s="1"/>
  <c r="E471" i="3" s="1"/>
  <c r="D472" i="3" a="1"/>
  <c r="D472" i="3" s="1"/>
  <c r="E472" i="3" s="1"/>
  <c r="D473" i="3" a="1"/>
  <c r="D473" i="3" s="1"/>
  <c r="E473" i="3" s="1"/>
  <c r="D474" i="3" a="1"/>
  <c r="D474" i="3" s="1"/>
  <c r="E474" i="3" s="1"/>
  <c r="D475" i="3" a="1"/>
  <c r="D475" i="3" s="1"/>
  <c r="E475" i="3" s="1"/>
  <c r="D476" i="3" a="1"/>
  <c r="D476" i="3" s="1"/>
  <c r="E476" i="3" s="1"/>
  <c r="D477" i="3" a="1"/>
  <c r="D477" i="3" s="1"/>
  <c r="E477" i="3" s="1"/>
  <c r="D478" i="3" a="1"/>
  <c r="D478" i="3" s="1"/>
  <c r="E478" i="3" s="1"/>
  <c r="D479" i="3" a="1"/>
  <c r="D479" i="3" s="1"/>
  <c r="E479" i="3" s="1"/>
  <c r="D480" i="3" a="1"/>
  <c r="D480" i="3" s="1"/>
  <c r="E480" i="3" s="1"/>
  <c r="D481" i="3" a="1"/>
  <c r="D481" i="3" s="1"/>
  <c r="E481" i="3" s="1"/>
  <c r="D482" i="3" a="1"/>
  <c r="D482" i="3" s="1"/>
  <c r="E482" i="3" s="1"/>
  <c r="D483" i="3" a="1"/>
  <c r="D483" i="3" s="1"/>
  <c r="E483" i="3" s="1"/>
  <c r="D484" i="3" a="1"/>
  <c r="D484" i="3" s="1"/>
  <c r="E484" i="3" s="1"/>
  <c r="D485" i="3" a="1"/>
  <c r="D485" i="3" s="1"/>
  <c r="E485" i="3" s="1"/>
  <c r="D486" i="3" a="1"/>
  <c r="D486" i="3" s="1"/>
  <c r="E486" i="3" s="1"/>
  <c r="D487" i="3" a="1"/>
  <c r="D487" i="3" s="1"/>
  <c r="E487" i="3" s="1"/>
  <c r="D488" i="3" a="1"/>
  <c r="D488" i="3" s="1"/>
  <c r="E488" i="3" s="1"/>
  <c r="D489" i="3" a="1"/>
  <c r="D489" i="3" s="1"/>
  <c r="E489" i="3" s="1"/>
  <c r="D490" i="3" a="1"/>
  <c r="D490" i="3" s="1"/>
  <c r="E490" i="3" s="1"/>
  <c r="D491" i="3" a="1"/>
  <c r="D491" i="3" s="1"/>
  <c r="E491" i="3" s="1"/>
  <c r="D492" i="3" a="1"/>
  <c r="D492" i="3" s="1"/>
  <c r="E492" i="3" s="1"/>
  <c r="D493" i="3" a="1"/>
  <c r="D493" i="3" s="1"/>
  <c r="E493" i="3" s="1"/>
  <c r="D494" i="3" a="1"/>
  <c r="D494" i="3" s="1"/>
  <c r="E494" i="3" s="1"/>
  <c r="D495" i="3" a="1"/>
  <c r="D495" i="3" s="1"/>
  <c r="E495" i="3" s="1"/>
  <c r="D496" i="3" a="1"/>
  <c r="D496" i="3" s="1"/>
  <c r="E496" i="3" s="1"/>
  <c r="D497" i="3" a="1"/>
  <c r="D497" i="3" s="1"/>
  <c r="E497" i="3" s="1"/>
  <c r="D499" i="3" a="1"/>
  <c r="D499" i="3" s="1"/>
  <c r="E499" i="3" s="1"/>
  <c r="D500" i="3" a="1"/>
  <c r="D500" i="3" s="1"/>
  <c r="E500" i="3" s="1"/>
  <c r="D501" i="3" a="1"/>
  <c r="D501" i="3" s="1"/>
  <c r="E501" i="3" s="1"/>
  <c r="D502" i="3" a="1"/>
  <c r="D502" i="3" s="1"/>
  <c r="E502" i="3" s="1"/>
  <c r="D503" i="3" a="1"/>
  <c r="D503" i="3" s="1"/>
  <c r="E503" i="3" s="1"/>
  <c r="D504" i="3" a="1"/>
  <c r="D504" i="3" s="1"/>
  <c r="E504" i="3" s="1"/>
  <c r="D505" i="3" a="1"/>
  <c r="D505" i="3" s="1"/>
  <c r="E505" i="3" s="1"/>
  <c r="D506" i="3" a="1"/>
  <c r="D506" i="3" s="1"/>
  <c r="E506" i="3" s="1"/>
  <c r="D507" i="3" a="1"/>
  <c r="D507" i="3" s="1"/>
  <c r="E507" i="3" s="1"/>
  <c r="D508" i="3" a="1"/>
  <c r="D508" i="3" s="1"/>
  <c r="E508" i="3" s="1"/>
  <c r="D509" i="3" a="1"/>
  <c r="D509" i="3" s="1"/>
  <c r="E509" i="3" s="1"/>
  <c r="D510" i="3" a="1"/>
  <c r="D510" i="3" s="1"/>
  <c r="E510" i="3" s="1"/>
  <c r="D512" i="3" a="1"/>
  <c r="D512" i="3" s="1"/>
  <c r="E512" i="3" s="1"/>
  <c r="D513" i="3" a="1"/>
  <c r="D513" i="3" s="1"/>
  <c r="E513" i="3" s="1"/>
  <c r="D514" i="3" a="1"/>
  <c r="D514" i="3" s="1"/>
  <c r="E514" i="3" s="1"/>
  <c r="D515" i="3" a="1"/>
  <c r="D515" i="3" s="1"/>
  <c r="E515" i="3" s="1"/>
  <c r="D516" i="3" a="1"/>
  <c r="D516" i="3" s="1"/>
  <c r="E516" i="3" s="1"/>
  <c r="D517" i="3" a="1"/>
  <c r="D517" i="3" s="1"/>
  <c r="E517" i="3" s="1"/>
  <c r="D519" i="3" a="1"/>
  <c r="D519" i="3" s="1"/>
  <c r="E519" i="3" s="1"/>
  <c r="D520" i="3" a="1"/>
  <c r="D520" i="3" s="1"/>
  <c r="E520" i="3" s="1"/>
  <c r="D521" i="3" a="1"/>
  <c r="D521" i="3" s="1"/>
  <c r="E521" i="3" s="1"/>
  <c r="D522" i="3" a="1"/>
  <c r="D522" i="3" s="1"/>
  <c r="E522" i="3" s="1"/>
  <c r="D523" i="3" a="1"/>
  <c r="D523" i="3" s="1"/>
  <c r="E523" i="3" s="1"/>
  <c r="D524" i="3" a="1"/>
  <c r="D524" i="3" s="1"/>
  <c r="E524" i="3" s="1"/>
  <c r="D525" i="3" a="1"/>
  <c r="D525" i="3" s="1"/>
  <c r="E525" i="3" s="1"/>
  <c r="D526" i="3" a="1"/>
  <c r="D526" i="3" s="1"/>
  <c r="E526" i="3" s="1"/>
  <c r="D527" i="3" a="1"/>
  <c r="D527" i="3" s="1"/>
  <c r="E527" i="3" s="1"/>
  <c r="D528" i="3" a="1"/>
  <c r="D528" i="3" s="1"/>
  <c r="E528" i="3" s="1"/>
  <c r="D529" i="3" a="1"/>
  <c r="D529" i="3" s="1"/>
  <c r="E529" i="3" s="1"/>
  <c r="D533" i="3" a="1"/>
  <c r="D533" i="3" s="1"/>
  <c r="E533" i="3" s="1"/>
  <c r="D535" i="3" a="1"/>
  <c r="D535" i="3" s="1"/>
  <c r="E535" i="3" s="1"/>
  <c r="D536" i="3" a="1"/>
  <c r="D536" i="3" s="1"/>
  <c r="E536" i="3" s="1"/>
  <c r="D537" i="3" a="1"/>
  <c r="D537" i="3" s="1"/>
  <c r="E537" i="3" s="1"/>
  <c r="D538" i="3" a="1"/>
  <c r="D538" i="3" s="1"/>
  <c r="E538" i="3" s="1"/>
  <c r="D539" i="3" a="1"/>
  <c r="D539" i="3" s="1"/>
  <c r="E539" i="3" s="1"/>
  <c r="D540" i="3" a="1"/>
  <c r="D540" i="3" s="1"/>
  <c r="E540" i="3" s="1"/>
  <c r="D541" i="3" a="1"/>
  <c r="D541" i="3" s="1"/>
  <c r="E541" i="3" s="1"/>
  <c r="D542" i="3" a="1"/>
  <c r="D542" i="3" s="1"/>
  <c r="E542" i="3" s="1"/>
  <c r="D543" i="3" a="1"/>
  <c r="D543" i="3" s="1"/>
  <c r="E543" i="3" s="1"/>
  <c r="D544" i="3" a="1"/>
  <c r="D544" i="3" s="1"/>
  <c r="E544" i="3" s="1"/>
  <c r="D547" i="3" a="1"/>
  <c r="D547" i="3" s="1"/>
  <c r="E547" i="3" s="1"/>
  <c r="D548" i="3" a="1"/>
  <c r="D548" i="3" s="1"/>
  <c r="E548" i="3" s="1"/>
  <c r="D549" i="3" a="1"/>
  <c r="D549" i="3" s="1"/>
  <c r="E549" i="3" s="1"/>
  <c r="D550" i="3" a="1"/>
  <c r="D550" i="3" s="1"/>
  <c r="E550" i="3" s="1"/>
  <c r="D551" i="3" a="1"/>
  <c r="D551" i="3" s="1"/>
  <c r="E551" i="3" s="1"/>
  <c r="D552" i="3" a="1"/>
  <c r="D552" i="3" s="1"/>
  <c r="E552" i="3" s="1"/>
  <c r="D554" i="3" a="1"/>
  <c r="D554" i="3" s="1"/>
  <c r="E554" i="3" s="1"/>
  <c r="D555" i="3" a="1"/>
  <c r="D555" i="3" s="1"/>
  <c r="E555" i="3" s="1"/>
  <c r="D556" i="3" a="1"/>
  <c r="D556" i="3" s="1"/>
  <c r="E556" i="3" s="1"/>
  <c r="D557" i="3" a="1"/>
  <c r="D557" i="3" s="1"/>
  <c r="E557" i="3" s="1"/>
  <c r="D558" i="3" a="1"/>
  <c r="D558" i="3" s="1"/>
  <c r="E558" i="3" s="1"/>
  <c r="D559" i="3" a="1"/>
  <c r="D559" i="3" s="1"/>
  <c r="E559" i="3" s="1"/>
  <c r="D560" i="3" a="1"/>
  <c r="D560" i="3" s="1"/>
  <c r="E560" i="3" s="1"/>
  <c r="D562" i="3" a="1"/>
  <c r="D562" i="3" s="1"/>
  <c r="E562" i="3" s="1"/>
  <c r="D564" i="3" a="1"/>
  <c r="D564" i="3" s="1"/>
  <c r="E564" i="3" s="1"/>
  <c r="D565" i="3" a="1"/>
  <c r="D565" i="3" s="1"/>
  <c r="E565" i="3" s="1"/>
  <c r="D566" i="3" a="1"/>
  <c r="D566" i="3" s="1"/>
  <c r="E566" i="3" s="1"/>
  <c r="D567" i="3" a="1"/>
  <c r="D567" i="3" s="1"/>
  <c r="E567" i="3" s="1"/>
  <c r="D568" i="3" a="1"/>
  <c r="D568" i="3" s="1"/>
  <c r="E568" i="3" s="1"/>
  <c r="D569" i="3" a="1"/>
  <c r="D569" i="3" s="1"/>
  <c r="E569" i="3" s="1"/>
  <c r="D570" i="3" a="1"/>
  <c r="D570" i="3" s="1"/>
  <c r="E570" i="3" s="1"/>
  <c r="D571" i="3" a="1"/>
  <c r="D571" i="3" s="1"/>
  <c r="E571" i="3" s="1"/>
  <c r="D572" i="3" a="1"/>
  <c r="D572" i="3" s="1"/>
  <c r="E572" i="3" s="1"/>
  <c r="D573" i="3" a="1"/>
  <c r="D573" i="3" s="1"/>
  <c r="E573" i="3" s="1"/>
  <c r="D574" i="3" a="1"/>
  <c r="D574" i="3" s="1"/>
  <c r="E574" i="3" s="1"/>
  <c r="D575" i="3" a="1"/>
  <c r="D575" i="3" s="1"/>
  <c r="E575" i="3" s="1"/>
  <c r="D576" i="3" a="1"/>
  <c r="D576" i="3" s="1"/>
  <c r="E576" i="3" s="1"/>
  <c r="D577" i="3" a="1"/>
  <c r="D577" i="3" s="1"/>
  <c r="E577" i="3" s="1"/>
  <c r="D578" i="3" a="1"/>
  <c r="D578" i="3" s="1"/>
  <c r="E578" i="3" s="1"/>
  <c r="D579" i="3" a="1"/>
  <c r="D579" i="3" s="1"/>
  <c r="E579" i="3" s="1"/>
  <c r="D580" i="3" a="1"/>
  <c r="D580" i="3" s="1"/>
  <c r="E580" i="3" s="1"/>
  <c r="D581" i="3" a="1"/>
  <c r="D581" i="3" s="1"/>
  <c r="E581" i="3" s="1"/>
  <c r="D582" i="3" a="1"/>
  <c r="D582" i="3" s="1"/>
  <c r="E582" i="3" s="1"/>
  <c r="D553" i="3" a="1"/>
  <c r="D553" i="3" s="1"/>
  <c r="E553" i="3" s="1"/>
  <c r="D511" i="3" a="1"/>
  <c r="D511" i="3" s="1"/>
  <c r="E511" i="3" s="1"/>
  <c r="D534" i="3" a="1"/>
  <c r="D534" i="3" s="1"/>
  <c r="E534" i="3" s="1"/>
  <c r="D545" i="3" a="1"/>
  <c r="D545" i="3" s="1"/>
  <c r="E545" i="3" s="1"/>
  <c r="D530" i="3" a="1"/>
  <c r="D530" i="3" s="1"/>
  <c r="E530" i="3" s="1"/>
  <c r="D561" i="3" a="1"/>
  <c r="D561" i="3" s="1"/>
  <c r="E561" i="3" s="1"/>
  <c r="D531" i="3" a="1"/>
  <c r="D531" i="3" s="1"/>
  <c r="E531" i="3" s="1"/>
  <c r="D546" i="3" a="1"/>
  <c r="D546" i="3" s="1"/>
  <c r="E546" i="3" s="1"/>
  <c r="D518" i="3" a="1"/>
  <c r="D518" i="3" s="1"/>
  <c r="E518" i="3" s="1"/>
  <c r="Z574" i="3"/>
  <c r="Z573" i="3"/>
  <c r="K573" i="3"/>
  <c r="Z572" i="3"/>
  <c r="K572" i="3"/>
  <c r="Z571" i="3"/>
  <c r="K571" i="3"/>
  <c r="Z570" i="3"/>
  <c r="K570" i="3"/>
  <c r="Z569" i="3"/>
  <c r="K569" i="3"/>
  <c r="Z568" i="3"/>
  <c r="K568" i="3"/>
  <c r="Z567" i="3"/>
  <c r="O567" i="3"/>
  <c r="K567" i="3"/>
  <c r="Z566" i="3"/>
  <c r="O566" i="3"/>
  <c r="K566" i="3"/>
  <c r="Z565" i="3"/>
  <c r="O565" i="3"/>
  <c r="K565" i="3"/>
  <c r="Z564" i="3"/>
  <c r="O564" i="3"/>
  <c r="K564" i="3"/>
  <c r="Z563" i="3"/>
  <c r="O563" i="3"/>
  <c r="K563" i="3"/>
  <c r="Z562" i="3"/>
  <c r="O562" i="3"/>
  <c r="K562" i="3"/>
  <c r="Z561" i="3"/>
  <c r="O561" i="3"/>
  <c r="K561" i="3"/>
  <c r="Z560" i="3"/>
  <c r="O560" i="3"/>
  <c r="K560" i="3"/>
  <c r="Z559" i="3"/>
  <c r="O559" i="3"/>
  <c r="K559" i="3"/>
  <c r="Z558" i="3"/>
  <c r="O558" i="3"/>
  <c r="K558" i="3"/>
  <c r="Z557" i="3"/>
  <c r="O557" i="3"/>
  <c r="K557" i="3"/>
  <c r="Z556" i="3"/>
  <c r="O556" i="3"/>
  <c r="K556" i="3"/>
  <c r="Z555" i="3"/>
  <c r="O555" i="3"/>
  <c r="K555" i="3"/>
  <c r="Z554" i="3"/>
  <c r="O554" i="3"/>
  <c r="K554" i="3"/>
  <c r="Z553" i="3"/>
  <c r="O553" i="3"/>
  <c r="K553" i="3"/>
  <c r="Z552" i="3"/>
  <c r="O552" i="3"/>
  <c r="K552" i="3"/>
  <c r="Z551" i="3"/>
  <c r="O551" i="3"/>
  <c r="K551" i="3"/>
  <c r="Z550" i="3"/>
  <c r="O550" i="3"/>
  <c r="K550" i="3"/>
  <c r="Z549" i="3"/>
  <c r="O549" i="3"/>
  <c r="K549" i="3"/>
  <c r="Z548" i="3"/>
  <c r="O548" i="3"/>
  <c r="K548" i="3"/>
  <c r="Z547" i="3"/>
  <c r="O547" i="3"/>
  <c r="K547" i="3"/>
  <c r="Z546" i="3"/>
  <c r="O546" i="3"/>
  <c r="K546" i="3"/>
  <c r="Z545" i="3"/>
  <c r="O545" i="3"/>
  <c r="K545" i="3"/>
  <c r="Z544" i="3"/>
  <c r="O544" i="3"/>
  <c r="K544" i="3"/>
  <c r="Z543" i="3"/>
  <c r="O543" i="3"/>
  <c r="K543" i="3"/>
  <c r="Z542" i="3"/>
  <c r="O542" i="3"/>
  <c r="K542" i="3"/>
  <c r="Z541" i="3"/>
  <c r="O541" i="3"/>
  <c r="K541" i="3"/>
  <c r="Z540" i="3"/>
  <c r="O540" i="3"/>
  <c r="K540" i="3"/>
  <c r="Z539" i="3"/>
  <c r="O539" i="3"/>
  <c r="K539" i="3"/>
  <c r="Z538" i="3"/>
  <c r="O538" i="3"/>
  <c r="K538" i="3"/>
  <c r="Z537" i="3"/>
  <c r="O537" i="3"/>
  <c r="K537" i="3"/>
  <c r="Z536" i="3"/>
  <c r="O536" i="3"/>
  <c r="K536" i="3"/>
  <c r="Z535" i="3"/>
  <c r="O535" i="3"/>
  <c r="K535" i="3"/>
  <c r="Z534" i="3"/>
  <c r="O534" i="3"/>
  <c r="K534" i="3"/>
  <c r="Z533" i="3"/>
  <c r="O533" i="3"/>
  <c r="K533" i="3"/>
  <c r="Z532" i="3"/>
  <c r="O532" i="3"/>
  <c r="K532" i="3"/>
  <c r="Z531" i="3"/>
  <c r="O531" i="3"/>
  <c r="K531" i="3"/>
  <c r="Z530" i="3"/>
  <c r="O530" i="3"/>
  <c r="K530" i="3"/>
  <c r="Z529" i="3"/>
  <c r="O529" i="3"/>
  <c r="K529" i="3"/>
  <c r="Z528" i="3"/>
  <c r="O528" i="3"/>
  <c r="K528" i="3"/>
  <c r="Z527" i="3"/>
  <c r="O527" i="3"/>
  <c r="K527" i="3"/>
  <c r="Z526" i="3"/>
  <c r="O526" i="3"/>
  <c r="K526" i="3"/>
  <c r="Z525" i="3"/>
  <c r="O525" i="3"/>
  <c r="K525" i="3"/>
  <c r="Z524" i="3"/>
  <c r="O524" i="3"/>
  <c r="K524" i="3"/>
  <c r="Z523" i="3"/>
  <c r="O523" i="3"/>
  <c r="K523" i="3"/>
  <c r="Z522" i="3"/>
  <c r="O522" i="3"/>
  <c r="K522" i="3"/>
  <c r="Z521" i="3"/>
  <c r="O521" i="3"/>
  <c r="K521" i="3"/>
  <c r="Z520" i="3"/>
  <c r="O520" i="3"/>
  <c r="K520" i="3"/>
  <c r="Z519" i="3"/>
  <c r="O519" i="3"/>
  <c r="K519" i="3"/>
  <c r="Z518" i="3"/>
  <c r="O518" i="3"/>
  <c r="K518" i="3"/>
  <c r="Z517" i="3"/>
  <c r="O517" i="3"/>
  <c r="K517" i="3"/>
  <c r="Z516" i="3"/>
  <c r="O516" i="3"/>
  <c r="K516" i="3"/>
  <c r="Z515" i="3"/>
  <c r="O515" i="3"/>
  <c r="K515" i="3"/>
  <c r="Z514" i="3"/>
  <c r="O514" i="3"/>
  <c r="K514" i="3"/>
  <c r="Z513" i="3"/>
  <c r="O513" i="3"/>
  <c r="K513" i="3"/>
  <c r="Z512" i="3"/>
  <c r="O512" i="3"/>
  <c r="K512" i="3"/>
  <c r="Z511" i="3"/>
  <c r="O511" i="3"/>
  <c r="K511" i="3"/>
  <c r="Z510" i="3"/>
  <c r="O510" i="3"/>
  <c r="K510" i="3"/>
  <c r="Z509" i="3"/>
  <c r="O509" i="3"/>
  <c r="K509" i="3"/>
  <c r="Z508" i="3"/>
  <c r="O508" i="3"/>
  <c r="K508" i="3"/>
  <c r="Z507" i="3"/>
  <c r="O507" i="3"/>
  <c r="K507" i="3"/>
  <c r="Z506" i="3"/>
  <c r="O506" i="3"/>
  <c r="K506" i="3"/>
  <c r="Z505" i="3"/>
  <c r="O505" i="3"/>
  <c r="K505" i="3"/>
  <c r="Z504" i="3"/>
  <c r="O504" i="3"/>
  <c r="K504" i="3"/>
  <c r="Z503" i="3"/>
  <c r="O503" i="3"/>
  <c r="K503" i="3"/>
  <c r="Z502" i="3"/>
  <c r="O502" i="3"/>
  <c r="K502" i="3"/>
  <c r="Z501" i="3"/>
  <c r="O501" i="3"/>
  <c r="K501" i="3"/>
  <c r="Z500" i="3"/>
  <c r="O500" i="3"/>
  <c r="K500" i="3"/>
  <c r="Z499" i="3"/>
  <c r="O499" i="3"/>
  <c r="K499" i="3"/>
  <c r="Z498" i="3"/>
  <c r="O498" i="3"/>
  <c r="K498" i="3"/>
  <c r="Z497" i="3"/>
  <c r="O497" i="3"/>
  <c r="K497" i="3"/>
  <c r="Z496" i="3"/>
  <c r="O496" i="3"/>
  <c r="K496" i="3"/>
  <c r="Z495" i="3"/>
  <c r="O495" i="3"/>
  <c r="K495" i="3"/>
  <c r="Z494" i="3"/>
  <c r="O494" i="3"/>
  <c r="K494" i="3"/>
  <c r="Z493" i="3"/>
  <c r="O493" i="3"/>
  <c r="K493" i="3"/>
  <c r="Z492" i="3"/>
  <c r="O492" i="3"/>
  <c r="K492" i="3"/>
  <c r="Z491" i="3"/>
  <c r="O491" i="3"/>
  <c r="K491" i="3"/>
  <c r="Z490" i="3"/>
  <c r="O490" i="3"/>
  <c r="K490" i="3"/>
  <c r="Z489" i="3"/>
  <c r="O489" i="3"/>
  <c r="K489" i="3"/>
  <c r="Z488" i="3"/>
  <c r="O488" i="3"/>
  <c r="K488" i="3"/>
  <c r="Z487" i="3"/>
  <c r="O487" i="3"/>
  <c r="K487" i="3"/>
  <c r="Z486" i="3"/>
  <c r="O486" i="3"/>
  <c r="K486" i="3"/>
  <c r="Z485" i="3"/>
  <c r="O485" i="3"/>
  <c r="K485" i="3"/>
  <c r="Z484" i="3"/>
  <c r="O484" i="3"/>
  <c r="K484" i="3"/>
  <c r="Z483" i="3"/>
  <c r="O483" i="3"/>
  <c r="K483" i="3"/>
  <c r="Z482" i="3"/>
  <c r="O482" i="3"/>
  <c r="K482" i="3"/>
  <c r="Z481" i="3"/>
  <c r="O481" i="3"/>
  <c r="K481" i="3"/>
  <c r="Z480" i="3"/>
  <c r="O480" i="3"/>
  <c r="K480" i="3"/>
  <c r="Z479" i="3"/>
  <c r="O479" i="3"/>
  <c r="K479" i="3"/>
  <c r="Z478" i="3"/>
  <c r="O478" i="3"/>
  <c r="K478" i="3"/>
  <c r="Z477" i="3"/>
  <c r="O477" i="3"/>
  <c r="K477" i="3"/>
  <c r="Z476" i="3"/>
  <c r="O476" i="3"/>
  <c r="K476" i="3"/>
  <c r="Z475" i="3"/>
  <c r="O475" i="3"/>
  <c r="K475" i="3"/>
  <c r="Z474" i="3"/>
  <c r="O474" i="3"/>
  <c r="K474" i="3"/>
  <c r="Z473" i="3"/>
  <c r="O473" i="3"/>
  <c r="K473" i="3"/>
  <c r="Z472" i="3"/>
  <c r="O472" i="3"/>
  <c r="K472" i="3"/>
  <c r="Z471" i="3"/>
  <c r="O471" i="3"/>
  <c r="K471" i="3"/>
  <c r="Z470" i="3"/>
  <c r="O470" i="3"/>
  <c r="K470" i="3"/>
  <c r="Z469" i="3"/>
  <c r="O469" i="3"/>
  <c r="K469" i="3"/>
  <c r="Z468" i="3"/>
  <c r="O468" i="3"/>
  <c r="K468" i="3"/>
  <c r="Z467" i="3"/>
  <c r="O467" i="3"/>
  <c r="K467" i="3"/>
  <c r="Z466" i="3"/>
  <c r="O466" i="3"/>
  <c r="K466" i="3"/>
  <c r="Z465" i="3"/>
  <c r="O465" i="3"/>
  <c r="K465" i="3"/>
  <c r="Z464" i="3"/>
  <c r="O464" i="3"/>
  <c r="K464" i="3"/>
  <c r="Z463" i="3"/>
  <c r="O463" i="3"/>
  <c r="K463" i="3"/>
  <c r="Z462" i="3"/>
  <c r="O462" i="3"/>
  <c r="K462" i="3"/>
  <c r="Z461" i="3"/>
  <c r="O461" i="3"/>
  <c r="K461" i="3"/>
  <c r="Z460" i="3"/>
  <c r="O460" i="3"/>
  <c r="K460" i="3"/>
  <c r="Z459" i="3"/>
  <c r="O459" i="3"/>
  <c r="K459" i="3"/>
  <c r="Z458" i="3"/>
  <c r="O458" i="3"/>
  <c r="K458" i="3"/>
  <c r="Z457" i="3"/>
  <c r="O457" i="3"/>
  <c r="K457" i="3"/>
  <c r="Z456" i="3"/>
  <c r="O456" i="3"/>
  <c r="K456" i="3"/>
  <c r="Z455" i="3"/>
  <c r="O455" i="3"/>
  <c r="K455" i="3"/>
  <c r="Z454" i="3"/>
  <c r="O454" i="3"/>
  <c r="K454" i="3"/>
  <c r="Z453" i="3"/>
  <c r="O453" i="3"/>
  <c r="K453" i="3"/>
  <c r="Z452" i="3"/>
  <c r="O452" i="3"/>
  <c r="K452" i="3"/>
  <c r="Z451" i="3"/>
  <c r="O451" i="3"/>
  <c r="K451" i="3"/>
  <c r="Z450" i="3"/>
  <c r="O450" i="3"/>
  <c r="K450" i="3"/>
  <c r="Z449" i="3"/>
  <c r="O449" i="3"/>
  <c r="K449" i="3"/>
  <c r="Z448" i="3"/>
  <c r="O448" i="3"/>
  <c r="K448" i="3"/>
  <c r="Z447" i="3"/>
  <c r="O447" i="3"/>
  <c r="K447" i="3"/>
  <c r="Z446" i="3"/>
  <c r="O446" i="3"/>
  <c r="K446" i="3"/>
  <c r="Z445" i="3"/>
  <c r="O445" i="3"/>
  <c r="K445" i="3"/>
  <c r="Z444" i="3"/>
  <c r="O444" i="3"/>
  <c r="K444" i="3"/>
  <c r="Z443" i="3"/>
  <c r="O443" i="3"/>
  <c r="K443" i="3"/>
  <c r="Z442" i="3"/>
  <c r="O442" i="3"/>
  <c r="K442" i="3"/>
  <c r="Z441" i="3"/>
  <c r="O441" i="3"/>
  <c r="K441" i="3"/>
  <c r="Z440" i="3"/>
  <c r="O440" i="3"/>
  <c r="K440" i="3"/>
  <c r="Z439" i="3"/>
  <c r="O439" i="3"/>
  <c r="K439" i="3"/>
  <c r="Z438" i="3"/>
  <c r="O438" i="3"/>
  <c r="K438" i="3"/>
  <c r="Z437" i="3"/>
  <c r="O437" i="3"/>
  <c r="K437" i="3"/>
  <c r="Z436" i="3"/>
  <c r="O436" i="3"/>
  <c r="K436" i="3"/>
  <c r="Z435" i="3"/>
  <c r="O435" i="3"/>
  <c r="K435" i="3"/>
  <c r="Z434" i="3"/>
  <c r="O434" i="3"/>
  <c r="K434" i="3"/>
  <c r="Z433" i="3"/>
  <c r="O433" i="3"/>
  <c r="K433" i="3"/>
  <c r="Z432" i="3"/>
  <c r="O432" i="3"/>
  <c r="K432" i="3"/>
  <c r="Z431" i="3"/>
  <c r="O431" i="3"/>
  <c r="K431" i="3"/>
  <c r="Z430" i="3"/>
  <c r="O430" i="3"/>
  <c r="K430" i="3"/>
  <c r="Z429" i="3"/>
  <c r="O429" i="3"/>
  <c r="K429" i="3"/>
  <c r="Z428" i="3"/>
  <c r="O428" i="3"/>
  <c r="K428" i="3"/>
  <c r="Z427" i="3"/>
  <c r="O427" i="3"/>
  <c r="K427" i="3"/>
  <c r="Z426" i="3"/>
  <c r="O426" i="3"/>
  <c r="K426" i="3"/>
  <c r="Z425" i="3"/>
  <c r="O425" i="3"/>
  <c r="K425" i="3"/>
  <c r="Z424" i="3"/>
  <c r="O424" i="3"/>
  <c r="K424" i="3"/>
  <c r="Z423" i="3"/>
  <c r="O423" i="3"/>
  <c r="K423" i="3"/>
  <c r="Z422" i="3"/>
  <c r="O422" i="3"/>
  <c r="K422" i="3"/>
  <c r="Z421" i="3"/>
  <c r="O421" i="3"/>
  <c r="K421" i="3"/>
  <c r="Z420" i="3"/>
  <c r="O420" i="3"/>
  <c r="K420" i="3"/>
  <c r="Z419" i="3"/>
  <c r="O419" i="3"/>
  <c r="K419" i="3"/>
  <c r="Z418" i="3"/>
  <c r="O418" i="3"/>
  <c r="K418" i="3"/>
  <c r="Z417" i="3"/>
  <c r="O417" i="3"/>
  <c r="K417" i="3"/>
  <c r="Z416" i="3"/>
  <c r="O416" i="3"/>
  <c r="K416" i="3"/>
  <c r="Z415" i="3"/>
  <c r="O415" i="3"/>
  <c r="K415" i="3"/>
  <c r="Z414" i="3"/>
  <c r="O414" i="3"/>
  <c r="K414" i="3"/>
  <c r="Z413" i="3"/>
  <c r="O413" i="3"/>
  <c r="K413" i="3"/>
  <c r="Z412" i="3"/>
  <c r="O412" i="3"/>
  <c r="K412" i="3"/>
  <c r="Z411" i="3"/>
  <c r="O411" i="3"/>
  <c r="K411" i="3"/>
  <c r="Z410" i="3"/>
  <c r="O410" i="3"/>
  <c r="K410" i="3"/>
  <c r="Z409" i="3"/>
  <c r="O409" i="3"/>
  <c r="K409" i="3"/>
  <c r="Z408" i="3"/>
  <c r="O408" i="3"/>
  <c r="K408" i="3"/>
  <c r="Z407" i="3"/>
  <c r="O407" i="3"/>
  <c r="K407" i="3"/>
  <c r="Z406" i="3"/>
  <c r="O406" i="3"/>
  <c r="K406" i="3"/>
  <c r="Z405" i="3"/>
  <c r="O405" i="3"/>
  <c r="K405" i="3"/>
  <c r="Z404" i="3"/>
  <c r="O404" i="3"/>
  <c r="K404" i="3"/>
  <c r="Z403" i="3"/>
  <c r="O403" i="3"/>
  <c r="K403" i="3"/>
  <c r="Z402" i="3"/>
  <c r="O402" i="3"/>
  <c r="K402" i="3"/>
  <c r="Z401" i="3"/>
  <c r="O401" i="3"/>
  <c r="K401" i="3"/>
  <c r="Z400" i="3"/>
  <c r="O400" i="3"/>
  <c r="K400" i="3"/>
  <c r="Z399" i="3"/>
  <c r="O399" i="3"/>
  <c r="K399" i="3"/>
  <c r="Z398" i="3"/>
  <c r="O398" i="3"/>
  <c r="K398" i="3"/>
  <c r="Z397" i="3"/>
  <c r="O397" i="3"/>
  <c r="K397" i="3"/>
  <c r="Z396" i="3"/>
  <c r="O396" i="3"/>
  <c r="K396" i="3"/>
  <c r="Z395" i="3"/>
  <c r="O395" i="3"/>
  <c r="K395" i="3"/>
  <c r="Z394" i="3"/>
  <c r="O394" i="3"/>
  <c r="K394" i="3"/>
  <c r="Z393" i="3"/>
  <c r="O393" i="3"/>
  <c r="K393" i="3"/>
  <c r="Z392" i="3"/>
  <c r="O392" i="3"/>
  <c r="K392" i="3"/>
  <c r="Z391" i="3"/>
  <c r="O391" i="3"/>
  <c r="K391" i="3"/>
  <c r="Z390" i="3"/>
  <c r="O390" i="3"/>
  <c r="K390" i="3"/>
  <c r="Z389" i="3"/>
  <c r="O389" i="3"/>
  <c r="K389" i="3"/>
  <c r="Z388" i="3"/>
  <c r="O388" i="3"/>
  <c r="K388" i="3"/>
  <c r="Z387" i="3"/>
  <c r="O387" i="3"/>
  <c r="K387" i="3"/>
  <c r="Z386" i="3"/>
  <c r="O386" i="3"/>
  <c r="K386" i="3"/>
  <c r="Z385" i="3"/>
  <c r="O385" i="3"/>
  <c r="K385" i="3"/>
  <c r="Z384" i="3"/>
  <c r="O384" i="3"/>
  <c r="K384" i="3"/>
  <c r="Z383" i="3"/>
  <c r="O383" i="3"/>
  <c r="K383" i="3"/>
  <c r="Z382" i="3"/>
  <c r="O382" i="3"/>
  <c r="K382" i="3"/>
  <c r="Z381" i="3"/>
  <c r="O381" i="3"/>
  <c r="K381" i="3"/>
  <c r="Z380" i="3"/>
  <c r="O380" i="3"/>
  <c r="K380" i="3"/>
  <c r="Z379" i="3"/>
  <c r="O379" i="3"/>
  <c r="K379" i="3"/>
  <c r="Z378" i="3"/>
  <c r="O378" i="3"/>
  <c r="K378" i="3"/>
  <c r="Z377" i="3"/>
  <c r="O377" i="3"/>
  <c r="K377" i="3"/>
  <c r="Z376" i="3"/>
  <c r="O376" i="3"/>
  <c r="K376" i="3"/>
  <c r="Z375" i="3"/>
  <c r="O375" i="3"/>
  <c r="K375" i="3"/>
  <c r="Z374" i="3"/>
  <c r="O374" i="3"/>
  <c r="K374" i="3"/>
  <c r="Z373" i="3"/>
  <c r="O373" i="3"/>
  <c r="K373" i="3"/>
  <c r="Z372" i="3"/>
  <c r="O372" i="3"/>
  <c r="K372" i="3"/>
  <c r="Z371" i="3"/>
  <c r="O371" i="3"/>
  <c r="K371" i="3"/>
  <c r="Z370" i="3"/>
  <c r="O370" i="3"/>
  <c r="K370" i="3"/>
  <c r="Z369" i="3"/>
  <c r="O369" i="3"/>
  <c r="K369" i="3"/>
  <c r="Z368" i="3"/>
  <c r="O368" i="3"/>
  <c r="K368" i="3"/>
  <c r="Z367" i="3"/>
  <c r="O367" i="3"/>
  <c r="K367" i="3"/>
  <c r="Z366" i="3"/>
  <c r="O366" i="3"/>
  <c r="K366" i="3"/>
  <c r="Z365" i="3"/>
  <c r="O365" i="3"/>
  <c r="K365" i="3"/>
  <c r="Z364" i="3"/>
  <c r="O364" i="3"/>
  <c r="K364" i="3"/>
  <c r="Z363" i="3"/>
  <c r="O363" i="3"/>
  <c r="K363" i="3"/>
  <c r="Z362" i="3"/>
  <c r="O362" i="3"/>
  <c r="K362" i="3"/>
  <c r="Z361" i="3"/>
  <c r="O361" i="3"/>
  <c r="K361" i="3"/>
  <c r="Z360" i="3"/>
  <c r="O360" i="3"/>
  <c r="K360" i="3"/>
  <c r="Z359" i="3"/>
  <c r="O359" i="3"/>
  <c r="K359" i="3"/>
  <c r="Z358" i="3"/>
  <c r="O358" i="3"/>
  <c r="K358" i="3"/>
  <c r="Z357" i="3"/>
  <c r="O357" i="3"/>
  <c r="K357" i="3"/>
  <c r="Z356" i="3"/>
  <c r="O356" i="3"/>
  <c r="K356" i="3"/>
  <c r="Z355" i="3"/>
  <c r="O355" i="3"/>
  <c r="K355" i="3"/>
  <c r="Z354" i="3"/>
  <c r="O354" i="3"/>
  <c r="K354" i="3"/>
  <c r="Z353" i="3"/>
  <c r="O353" i="3"/>
  <c r="K353" i="3"/>
  <c r="Z352" i="3"/>
  <c r="O352" i="3"/>
  <c r="K352" i="3"/>
  <c r="Z351" i="3"/>
  <c r="O351" i="3"/>
  <c r="K351" i="3"/>
  <c r="Z350" i="3"/>
  <c r="O350" i="3"/>
  <c r="K350" i="3"/>
  <c r="Z349" i="3"/>
  <c r="O349" i="3"/>
  <c r="K349" i="3"/>
  <c r="Z348" i="3"/>
  <c r="O348" i="3"/>
  <c r="K348" i="3"/>
  <c r="Z347" i="3"/>
  <c r="O347" i="3"/>
  <c r="K347" i="3"/>
  <c r="Z346" i="3"/>
  <c r="O346" i="3"/>
  <c r="K346" i="3"/>
  <c r="Z345" i="3"/>
  <c r="O345" i="3"/>
  <c r="K345" i="3"/>
  <c r="Z344" i="3"/>
  <c r="O344" i="3"/>
  <c r="K344" i="3"/>
  <c r="Z343" i="3"/>
  <c r="O343" i="3"/>
  <c r="K343" i="3"/>
  <c r="Z342" i="3"/>
  <c r="O342" i="3"/>
  <c r="K342" i="3"/>
  <c r="Z341" i="3"/>
  <c r="O341" i="3"/>
  <c r="K341" i="3"/>
  <c r="Z340" i="3"/>
  <c r="O340" i="3"/>
  <c r="K340" i="3"/>
  <c r="Z339" i="3"/>
  <c r="O339" i="3"/>
  <c r="K339" i="3"/>
  <c r="Z338" i="3"/>
  <c r="O338" i="3"/>
  <c r="K338" i="3"/>
  <c r="Z337" i="3"/>
  <c r="O337" i="3"/>
  <c r="K337" i="3"/>
  <c r="Z336" i="3"/>
  <c r="O336" i="3"/>
  <c r="K336" i="3"/>
  <c r="Z335" i="3"/>
  <c r="O335" i="3"/>
  <c r="K335" i="3"/>
  <c r="Z334" i="3"/>
  <c r="O334" i="3"/>
  <c r="K334" i="3"/>
  <c r="Z333" i="3"/>
  <c r="O333" i="3"/>
  <c r="K333" i="3"/>
  <c r="Z332" i="3"/>
  <c r="O332" i="3"/>
  <c r="K332" i="3"/>
  <c r="Z331" i="3"/>
  <c r="O331" i="3"/>
  <c r="K331" i="3"/>
  <c r="Z330" i="3"/>
  <c r="O330" i="3"/>
  <c r="K330" i="3"/>
  <c r="Z329" i="3"/>
  <c r="O329" i="3"/>
  <c r="K329" i="3"/>
  <c r="Z328" i="3"/>
  <c r="O328" i="3"/>
  <c r="K328" i="3"/>
  <c r="Z327" i="3"/>
  <c r="O327" i="3"/>
  <c r="K327" i="3"/>
  <c r="Z326" i="3"/>
  <c r="O326" i="3"/>
  <c r="K326" i="3"/>
  <c r="Z325" i="3"/>
  <c r="O325" i="3"/>
  <c r="K325" i="3"/>
  <c r="Z324" i="3"/>
  <c r="O324" i="3"/>
  <c r="K324" i="3"/>
  <c r="Z323" i="3"/>
  <c r="O323" i="3"/>
  <c r="K323" i="3"/>
  <c r="Z322" i="3"/>
  <c r="O322" i="3"/>
  <c r="K322" i="3"/>
  <c r="Z321" i="3"/>
  <c r="O321" i="3"/>
  <c r="K321" i="3"/>
  <c r="Z320" i="3"/>
  <c r="O320" i="3"/>
  <c r="K320" i="3"/>
  <c r="Z319" i="3"/>
  <c r="O319" i="3"/>
  <c r="K319" i="3"/>
  <c r="Z318" i="3"/>
  <c r="O318" i="3"/>
  <c r="K318" i="3"/>
  <c r="Z317" i="3"/>
  <c r="O317" i="3"/>
  <c r="K317" i="3"/>
  <c r="Z316" i="3"/>
  <c r="O316" i="3"/>
  <c r="K316" i="3"/>
  <c r="Z315" i="3"/>
  <c r="O315" i="3"/>
  <c r="K315" i="3"/>
  <c r="Z314" i="3"/>
  <c r="O314" i="3"/>
  <c r="K314" i="3"/>
  <c r="Z313" i="3"/>
  <c r="O313" i="3"/>
  <c r="K313" i="3"/>
  <c r="Z312" i="3"/>
  <c r="O312" i="3"/>
  <c r="K312" i="3"/>
  <c r="Z311" i="3"/>
  <c r="O311" i="3"/>
  <c r="K311" i="3"/>
  <c r="Z310" i="3"/>
  <c r="O310" i="3"/>
  <c r="K310" i="3"/>
  <c r="Z309" i="3"/>
  <c r="O309" i="3"/>
  <c r="K309" i="3"/>
  <c r="Z308" i="3"/>
  <c r="O308" i="3"/>
  <c r="K308" i="3"/>
  <c r="Z307" i="3"/>
  <c r="O307" i="3"/>
  <c r="K307" i="3"/>
  <c r="Z306" i="3"/>
  <c r="O306" i="3"/>
  <c r="K306" i="3"/>
  <c r="Z305" i="3"/>
  <c r="O305" i="3"/>
  <c r="K305" i="3"/>
  <c r="Z304" i="3"/>
  <c r="O304" i="3"/>
  <c r="K304" i="3"/>
  <c r="Z303" i="3"/>
  <c r="O303" i="3"/>
  <c r="K303" i="3"/>
  <c r="Z302" i="3"/>
  <c r="O302" i="3"/>
  <c r="K302" i="3"/>
  <c r="Z301" i="3"/>
  <c r="O301" i="3"/>
  <c r="K301" i="3"/>
  <c r="Z300" i="3"/>
  <c r="O300" i="3"/>
  <c r="K300" i="3"/>
  <c r="Z299" i="3"/>
  <c r="O299" i="3"/>
  <c r="K299" i="3"/>
  <c r="Z298" i="3"/>
  <c r="O298" i="3"/>
  <c r="K298" i="3"/>
  <c r="Z297" i="3"/>
  <c r="O297" i="3"/>
  <c r="K297" i="3"/>
  <c r="Z296" i="3"/>
  <c r="O296" i="3"/>
  <c r="K296" i="3"/>
  <c r="Z295" i="3"/>
  <c r="O295" i="3"/>
  <c r="K295" i="3"/>
  <c r="Z294" i="3"/>
  <c r="O294" i="3"/>
  <c r="K294" i="3"/>
  <c r="Z293" i="3"/>
  <c r="O293" i="3"/>
  <c r="K293" i="3"/>
  <c r="Z292" i="3"/>
  <c r="O292" i="3"/>
  <c r="K292" i="3"/>
  <c r="Z291" i="3"/>
  <c r="O291" i="3"/>
  <c r="K291" i="3"/>
  <c r="Z290" i="3"/>
  <c r="O290" i="3"/>
  <c r="K290" i="3"/>
  <c r="Z289" i="3"/>
  <c r="O289" i="3"/>
  <c r="K289" i="3"/>
  <c r="Z288" i="3"/>
  <c r="O288" i="3"/>
  <c r="K288" i="3"/>
  <c r="Z287" i="3"/>
  <c r="O287" i="3"/>
  <c r="K287" i="3"/>
  <c r="Z286" i="3"/>
  <c r="O286" i="3"/>
  <c r="K286" i="3"/>
  <c r="Z285" i="3"/>
  <c r="O285" i="3"/>
  <c r="K285" i="3"/>
  <c r="Z284" i="3"/>
  <c r="O284" i="3"/>
  <c r="K284" i="3"/>
  <c r="Z283" i="3"/>
  <c r="O283" i="3"/>
  <c r="K283" i="3"/>
  <c r="Z282" i="3"/>
  <c r="O282" i="3"/>
  <c r="K282" i="3"/>
  <c r="Z281" i="3"/>
  <c r="O281" i="3"/>
  <c r="K281" i="3"/>
  <c r="Z280" i="3"/>
  <c r="O280" i="3"/>
  <c r="K280" i="3"/>
  <c r="Z279" i="3"/>
  <c r="O279" i="3"/>
  <c r="K279" i="3"/>
  <c r="Z278" i="3"/>
  <c r="O278" i="3"/>
  <c r="K278" i="3"/>
  <c r="Z277" i="3"/>
  <c r="O277" i="3"/>
  <c r="K277" i="3"/>
  <c r="Z276" i="3"/>
  <c r="O276" i="3"/>
  <c r="K276" i="3"/>
  <c r="Z275" i="3"/>
  <c r="O275" i="3"/>
  <c r="K275" i="3"/>
  <c r="Z274" i="3"/>
  <c r="O274" i="3"/>
  <c r="K274" i="3"/>
  <c r="Z273" i="3"/>
  <c r="O273" i="3"/>
  <c r="K273" i="3"/>
  <c r="Z272" i="3"/>
  <c r="O272" i="3"/>
  <c r="K272" i="3"/>
  <c r="Z271" i="3"/>
  <c r="O271" i="3"/>
  <c r="K271" i="3"/>
  <c r="Z270" i="3"/>
  <c r="O270" i="3"/>
  <c r="K270" i="3"/>
  <c r="Z269" i="3"/>
  <c r="O269" i="3"/>
  <c r="K269" i="3"/>
  <c r="Z268" i="3"/>
  <c r="O268" i="3"/>
  <c r="K268" i="3"/>
  <c r="Z267" i="3"/>
  <c r="O267" i="3"/>
  <c r="K267" i="3"/>
  <c r="Z266" i="3"/>
  <c r="O266" i="3"/>
  <c r="K266" i="3"/>
  <c r="Z265" i="3"/>
  <c r="O265" i="3"/>
  <c r="K265" i="3"/>
  <c r="Z264" i="3"/>
  <c r="O264" i="3"/>
  <c r="K264" i="3"/>
  <c r="Z263" i="3"/>
  <c r="O263" i="3"/>
  <c r="K263" i="3"/>
  <c r="Z262" i="3"/>
  <c r="O262" i="3"/>
  <c r="K262" i="3"/>
  <c r="Z261" i="3"/>
  <c r="O261" i="3"/>
  <c r="K261" i="3"/>
  <c r="Z260" i="3"/>
  <c r="O260" i="3"/>
  <c r="K260" i="3"/>
  <c r="Z259" i="3"/>
  <c r="O259" i="3"/>
  <c r="K259" i="3"/>
  <c r="Z258" i="3"/>
  <c r="O258" i="3"/>
  <c r="K258" i="3"/>
  <c r="Z257" i="3"/>
  <c r="O257" i="3"/>
  <c r="K257" i="3"/>
  <c r="Z256" i="3"/>
  <c r="O256" i="3"/>
  <c r="K256" i="3"/>
  <c r="Z255" i="3"/>
  <c r="O255" i="3"/>
  <c r="K255" i="3"/>
  <c r="Z254" i="3"/>
  <c r="O254" i="3"/>
  <c r="K254" i="3"/>
  <c r="Z253" i="3"/>
  <c r="O253" i="3"/>
  <c r="K253" i="3"/>
  <c r="Z252" i="3"/>
  <c r="O252" i="3"/>
  <c r="K252" i="3"/>
  <c r="Z251" i="3"/>
  <c r="O251" i="3"/>
  <c r="K251" i="3"/>
  <c r="Z250" i="3"/>
  <c r="O250" i="3"/>
  <c r="K250" i="3"/>
  <c r="Z249" i="3"/>
  <c r="O249" i="3"/>
  <c r="K249" i="3"/>
  <c r="Z248" i="3"/>
  <c r="O248" i="3"/>
  <c r="K248" i="3"/>
  <c r="Z247" i="3"/>
  <c r="O247" i="3"/>
  <c r="K247" i="3"/>
  <c r="Z246" i="3"/>
  <c r="O246" i="3"/>
  <c r="K246" i="3"/>
  <c r="Z245" i="3"/>
  <c r="O245" i="3"/>
  <c r="K245" i="3"/>
  <c r="Z244" i="3"/>
  <c r="O244" i="3"/>
  <c r="K244" i="3"/>
  <c r="Z243" i="3"/>
  <c r="O243" i="3"/>
  <c r="K243" i="3"/>
  <c r="Z242" i="3"/>
  <c r="O242" i="3"/>
  <c r="K242" i="3"/>
  <c r="Z241" i="3"/>
  <c r="O241" i="3"/>
  <c r="K241" i="3"/>
  <c r="Z240" i="3"/>
  <c r="O240" i="3"/>
  <c r="K240" i="3"/>
  <c r="Z239" i="3"/>
  <c r="O239" i="3"/>
  <c r="K239" i="3"/>
  <c r="Z238" i="3"/>
  <c r="O238" i="3"/>
  <c r="K238" i="3"/>
  <c r="Z237" i="3"/>
  <c r="O237" i="3"/>
  <c r="K237" i="3"/>
  <c r="Z236" i="3"/>
  <c r="O236" i="3"/>
  <c r="K236" i="3"/>
  <c r="Z235" i="3"/>
  <c r="O235" i="3"/>
  <c r="K235" i="3"/>
  <c r="Z234" i="3"/>
  <c r="O234" i="3"/>
  <c r="K234" i="3"/>
  <c r="Z233" i="3"/>
  <c r="O233" i="3"/>
  <c r="K233" i="3"/>
  <c r="Z232" i="3"/>
  <c r="O232" i="3"/>
  <c r="K232" i="3"/>
  <c r="Z231" i="3"/>
  <c r="O231" i="3"/>
  <c r="K231" i="3"/>
  <c r="Z230" i="3"/>
  <c r="O230" i="3"/>
  <c r="K230" i="3"/>
  <c r="Z229" i="3"/>
  <c r="O229" i="3"/>
  <c r="K229" i="3"/>
  <c r="Z228" i="3"/>
  <c r="O228" i="3"/>
  <c r="K228" i="3"/>
  <c r="Z227" i="3"/>
  <c r="O227" i="3"/>
  <c r="K227" i="3"/>
  <c r="Z226" i="3"/>
  <c r="O226" i="3"/>
  <c r="K226" i="3"/>
  <c r="Z225" i="3"/>
  <c r="O225" i="3"/>
  <c r="K225" i="3"/>
  <c r="Z224" i="3"/>
  <c r="O224" i="3"/>
  <c r="K224" i="3"/>
  <c r="Z223" i="3"/>
  <c r="O223" i="3"/>
  <c r="K223" i="3"/>
  <c r="Z222" i="3"/>
  <c r="O222" i="3"/>
  <c r="K222" i="3"/>
  <c r="Z221" i="3"/>
  <c r="O221" i="3"/>
  <c r="K221" i="3"/>
  <c r="Z220" i="3"/>
  <c r="O220" i="3"/>
  <c r="K220" i="3"/>
  <c r="Z219" i="3"/>
  <c r="O219" i="3"/>
  <c r="K219" i="3"/>
  <c r="Z218" i="3"/>
  <c r="O218" i="3"/>
  <c r="K218" i="3"/>
  <c r="Z217" i="3"/>
  <c r="O217" i="3"/>
  <c r="K217" i="3"/>
  <c r="Z216" i="3"/>
  <c r="O216" i="3"/>
  <c r="K216" i="3"/>
  <c r="Z215" i="3"/>
  <c r="O215" i="3"/>
  <c r="K215" i="3"/>
  <c r="Z214" i="3"/>
  <c r="O214" i="3"/>
  <c r="K214" i="3"/>
  <c r="Z213" i="3"/>
  <c r="O213" i="3"/>
  <c r="K213" i="3"/>
  <c r="Z212" i="3"/>
  <c r="O212" i="3"/>
  <c r="K212" i="3"/>
  <c r="Z211" i="3"/>
  <c r="O211" i="3"/>
  <c r="K211" i="3"/>
  <c r="Z210" i="3"/>
  <c r="O210" i="3"/>
  <c r="K210" i="3"/>
  <c r="Z209" i="3"/>
  <c r="O209" i="3"/>
  <c r="K209" i="3"/>
  <c r="Z208" i="3"/>
  <c r="O208" i="3"/>
  <c r="K208" i="3"/>
  <c r="Z207" i="3"/>
  <c r="O207" i="3"/>
  <c r="K207" i="3"/>
  <c r="Z206" i="3"/>
  <c r="O206" i="3"/>
  <c r="K206" i="3"/>
  <c r="Z205" i="3"/>
  <c r="O205" i="3"/>
  <c r="K205" i="3"/>
  <c r="Z204" i="3"/>
  <c r="O204" i="3"/>
  <c r="K204" i="3"/>
  <c r="Z203" i="3"/>
  <c r="O203" i="3"/>
  <c r="K203" i="3"/>
  <c r="Z202" i="3"/>
  <c r="O202" i="3"/>
  <c r="K202" i="3"/>
  <c r="Z201" i="3"/>
  <c r="O201" i="3"/>
  <c r="K201" i="3"/>
  <c r="Z200" i="3"/>
  <c r="O200" i="3"/>
  <c r="K200" i="3"/>
  <c r="Z199" i="3"/>
  <c r="O199" i="3"/>
  <c r="K199" i="3"/>
  <c r="Z198" i="3"/>
  <c r="O198" i="3"/>
  <c r="K198" i="3"/>
  <c r="Z197" i="3"/>
  <c r="O197" i="3"/>
  <c r="K197" i="3"/>
  <c r="Z196" i="3"/>
  <c r="O196" i="3"/>
  <c r="K196" i="3"/>
  <c r="Z195" i="3"/>
  <c r="O195" i="3"/>
  <c r="K195" i="3"/>
  <c r="Z194" i="3"/>
  <c r="O194" i="3"/>
  <c r="K194" i="3"/>
  <c r="Z193" i="3"/>
  <c r="O193" i="3"/>
  <c r="K193" i="3"/>
  <c r="Z192" i="3"/>
  <c r="O192" i="3"/>
  <c r="K192" i="3"/>
  <c r="Z191" i="3"/>
  <c r="O191" i="3"/>
  <c r="K191" i="3"/>
  <c r="Z190" i="3"/>
  <c r="O190" i="3"/>
  <c r="K190" i="3"/>
  <c r="Z189" i="3"/>
  <c r="O189" i="3"/>
  <c r="K189" i="3"/>
  <c r="Z188" i="3"/>
  <c r="O188" i="3"/>
  <c r="K188" i="3"/>
  <c r="Z187" i="3"/>
  <c r="O187" i="3"/>
  <c r="K187" i="3"/>
  <c r="Z186" i="3"/>
  <c r="O186" i="3"/>
  <c r="K186" i="3"/>
  <c r="Z185" i="3"/>
  <c r="O185" i="3"/>
  <c r="K185" i="3"/>
  <c r="Z184" i="3"/>
  <c r="O184" i="3"/>
  <c r="K184" i="3"/>
  <c r="Z183" i="3"/>
  <c r="O183" i="3"/>
  <c r="K183" i="3"/>
  <c r="Z182" i="3"/>
  <c r="O182" i="3"/>
  <c r="K182" i="3"/>
  <c r="Z181" i="3"/>
  <c r="O181" i="3"/>
  <c r="K181" i="3"/>
  <c r="Z180" i="3"/>
  <c r="O180" i="3"/>
  <c r="K180" i="3"/>
  <c r="Z179" i="3"/>
  <c r="O179" i="3"/>
  <c r="K179" i="3"/>
  <c r="Z178" i="3"/>
  <c r="O178" i="3"/>
  <c r="K178" i="3"/>
  <c r="Z177" i="3"/>
  <c r="O177" i="3"/>
  <c r="K177" i="3"/>
  <c r="Z176" i="3"/>
  <c r="O176" i="3"/>
  <c r="K176" i="3"/>
  <c r="Z175" i="3"/>
  <c r="O175" i="3"/>
  <c r="K175" i="3"/>
  <c r="Z174" i="3"/>
  <c r="O174" i="3"/>
  <c r="K174" i="3"/>
  <c r="Z173" i="3"/>
  <c r="O173" i="3"/>
  <c r="K173" i="3"/>
  <c r="Z172" i="3"/>
  <c r="O172" i="3"/>
  <c r="K172" i="3"/>
  <c r="Z171" i="3"/>
  <c r="O171" i="3"/>
  <c r="K171" i="3"/>
  <c r="Z170" i="3"/>
  <c r="O170" i="3"/>
  <c r="K170" i="3"/>
  <c r="Z169" i="3"/>
  <c r="O169" i="3"/>
  <c r="K169" i="3"/>
  <c r="Z168" i="3"/>
  <c r="O168" i="3"/>
  <c r="K168" i="3"/>
  <c r="Z167" i="3"/>
  <c r="O167" i="3"/>
  <c r="K167" i="3"/>
  <c r="Z166" i="3"/>
  <c r="O166" i="3"/>
  <c r="K166" i="3"/>
  <c r="Z165" i="3"/>
  <c r="O165" i="3"/>
  <c r="K165" i="3"/>
  <c r="Z164" i="3"/>
  <c r="O164" i="3"/>
  <c r="K164" i="3"/>
  <c r="Z163" i="3"/>
  <c r="O163" i="3"/>
  <c r="K163" i="3"/>
  <c r="Z162" i="3"/>
  <c r="O162" i="3"/>
  <c r="K162" i="3"/>
  <c r="Z161" i="3"/>
  <c r="O161" i="3"/>
  <c r="K161" i="3"/>
  <c r="Z160" i="3"/>
  <c r="O160" i="3"/>
  <c r="K160" i="3"/>
  <c r="Z159" i="3"/>
  <c r="O159" i="3"/>
  <c r="K159" i="3"/>
  <c r="Z158" i="3"/>
  <c r="O158" i="3"/>
  <c r="K158" i="3"/>
  <c r="Z157" i="3"/>
  <c r="O157" i="3"/>
  <c r="K157" i="3"/>
  <c r="Z156" i="3"/>
  <c r="O156" i="3"/>
  <c r="K156" i="3"/>
  <c r="Z155" i="3"/>
  <c r="O155" i="3"/>
  <c r="K155" i="3"/>
  <c r="Z154" i="3"/>
  <c r="O154" i="3"/>
  <c r="K154" i="3"/>
  <c r="Z153" i="3"/>
  <c r="O153" i="3"/>
  <c r="K153" i="3"/>
  <c r="Z152" i="3"/>
  <c r="O152" i="3"/>
  <c r="K152" i="3"/>
  <c r="Z151" i="3"/>
  <c r="O151" i="3"/>
  <c r="K151" i="3"/>
  <c r="Z150" i="3"/>
  <c r="O150" i="3"/>
  <c r="K150" i="3"/>
  <c r="Z149" i="3"/>
  <c r="O149" i="3"/>
  <c r="K149" i="3"/>
  <c r="Z148" i="3"/>
  <c r="O148" i="3"/>
  <c r="K148" i="3"/>
  <c r="Z147" i="3"/>
  <c r="O147" i="3"/>
  <c r="K147" i="3"/>
  <c r="Z146" i="3"/>
  <c r="O146" i="3"/>
  <c r="K146" i="3"/>
  <c r="Z145" i="3"/>
  <c r="O145" i="3"/>
  <c r="K145" i="3"/>
  <c r="Z144" i="3"/>
  <c r="O144" i="3"/>
  <c r="K144" i="3"/>
  <c r="Z143" i="3"/>
  <c r="O143" i="3"/>
  <c r="K143" i="3"/>
  <c r="Z142" i="3"/>
  <c r="O142" i="3"/>
  <c r="K142" i="3"/>
  <c r="Z141" i="3"/>
  <c r="O141" i="3"/>
  <c r="K141" i="3"/>
  <c r="Z140" i="3"/>
  <c r="O140" i="3"/>
  <c r="K140" i="3"/>
  <c r="Z139" i="3"/>
  <c r="O139" i="3"/>
  <c r="K139" i="3"/>
  <c r="Z138" i="3"/>
  <c r="O138" i="3"/>
  <c r="K138" i="3"/>
  <c r="Z137" i="3"/>
  <c r="O137" i="3"/>
  <c r="K137" i="3"/>
  <c r="Z136" i="3"/>
  <c r="O136" i="3"/>
  <c r="K136" i="3"/>
  <c r="Z135" i="3"/>
  <c r="O135" i="3"/>
  <c r="K135" i="3"/>
  <c r="Z134" i="3"/>
  <c r="O134" i="3"/>
  <c r="K134" i="3"/>
  <c r="Z133" i="3"/>
  <c r="O133" i="3"/>
  <c r="K133" i="3"/>
  <c r="Z132" i="3"/>
  <c r="O132" i="3"/>
  <c r="K132" i="3"/>
  <c r="Z131" i="3"/>
  <c r="O131" i="3"/>
  <c r="K131" i="3"/>
  <c r="Z130" i="3"/>
  <c r="O130" i="3"/>
  <c r="K130" i="3"/>
  <c r="Z129" i="3"/>
  <c r="O129" i="3"/>
  <c r="K129" i="3"/>
  <c r="Z128" i="3"/>
  <c r="O128" i="3"/>
  <c r="K128" i="3"/>
  <c r="Z127" i="3"/>
  <c r="O127" i="3"/>
  <c r="K127" i="3"/>
  <c r="Z126" i="3"/>
  <c r="O126" i="3"/>
  <c r="K126" i="3"/>
  <c r="Z125" i="3"/>
  <c r="O125" i="3"/>
  <c r="K125" i="3"/>
  <c r="Z124" i="3"/>
  <c r="O124" i="3"/>
  <c r="K124" i="3"/>
  <c r="Z123" i="3"/>
  <c r="O123" i="3"/>
  <c r="K123" i="3"/>
  <c r="Z122" i="3"/>
  <c r="O122" i="3"/>
  <c r="K122" i="3"/>
  <c r="Z121" i="3"/>
  <c r="O121" i="3"/>
  <c r="K121" i="3"/>
  <c r="Z120" i="3"/>
  <c r="O120" i="3"/>
  <c r="K120" i="3"/>
  <c r="Z119" i="3"/>
  <c r="O119" i="3"/>
  <c r="K119" i="3"/>
  <c r="Z118" i="3"/>
  <c r="O118" i="3"/>
  <c r="K118" i="3"/>
  <c r="Z117" i="3"/>
  <c r="O117" i="3"/>
  <c r="K117" i="3"/>
  <c r="Z116" i="3"/>
  <c r="O116" i="3"/>
  <c r="K116" i="3"/>
  <c r="Z115" i="3"/>
  <c r="O115" i="3"/>
  <c r="K115" i="3"/>
  <c r="Z114" i="3"/>
  <c r="O114" i="3"/>
  <c r="K114" i="3"/>
  <c r="Z113" i="3"/>
  <c r="O113" i="3"/>
  <c r="K113" i="3"/>
  <c r="Z112" i="3"/>
  <c r="O112" i="3"/>
  <c r="K112" i="3"/>
  <c r="Z111" i="3"/>
  <c r="O111" i="3"/>
  <c r="K111" i="3"/>
  <c r="Z110" i="3"/>
  <c r="O110" i="3"/>
  <c r="K110" i="3"/>
  <c r="Z109" i="3"/>
  <c r="O109" i="3"/>
  <c r="K109" i="3"/>
  <c r="Z108" i="3"/>
  <c r="O108" i="3"/>
  <c r="K108" i="3"/>
  <c r="Z107" i="3"/>
  <c r="O107" i="3"/>
  <c r="K107" i="3"/>
  <c r="Z106" i="3"/>
  <c r="O106" i="3"/>
  <c r="K106" i="3"/>
  <c r="Z105" i="3"/>
  <c r="O105" i="3"/>
  <c r="K105" i="3"/>
  <c r="Z104" i="3"/>
  <c r="O104" i="3"/>
  <c r="K104" i="3"/>
  <c r="Z103" i="3"/>
  <c r="O103" i="3"/>
  <c r="K103" i="3"/>
  <c r="Z102" i="3"/>
  <c r="O102" i="3"/>
  <c r="K102" i="3"/>
  <c r="Z101" i="3"/>
  <c r="O101" i="3"/>
  <c r="K101" i="3"/>
  <c r="Z100" i="3"/>
  <c r="O100" i="3"/>
  <c r="K100" i="3"/>
  <c r="Z99" i="3"/>
  <c r="O99" i="3"/>
  <c r="K99" i="3"/>
  <c r="Z98" i="3"/>
  <c r="O98" i="3"/>
  <c r="K98" i="3"/>
  <c r="Z97" i="3"/>
  <c r="O97" i="3"/>
  <c r="K97" i="3"/>
  <c r="Z96" i="3"/>
  <c r="O96" i="3"/>
  <c r="K96" i="3"/>
  <c r="Z95" i="3"/>
  <c r="O95" i="3"/>
  <c r="K95" i="3"/>
  <c r="Z94" i="3"/>
  <c r="O94" i="3"/>
  <c r="K94" i="3"/>
  <c r="Z93" i="3"/>
  <c r="O93" i="3"/>
  <c r="K93" i="3"/>
  <c r="Z92" i="3"/>
  <c r="O92" i="3"/>
  <c r="K92" i="3"/>
  <c r="Z91" i="3"/>
  <c r="O91" i="3"/>
  <c r="K91" i="3"/>
  <c r="Z90" i="3"/>
  <c r="O90" i="3"/>
  <c r="K90" i="3"/>
  <c r="Z89" i="3"/>
  <c r="O89" i="3"/>
  <c r="K89" i="3"/>
  <c r="Z88" i="3"/>
  <c r="O88" i="3"/>
  <c r="K88" i="3"/>
  <c r="Z87" i="3"/>
  <c r="O87" i="3"/>
  <c r="K87" i="3"/>
  <c r="Z86" i="3"/>
  <c r="O86" i="3"/>
  <c r="K86" i="3"/>
  <c r="Z85" i="3"/>
  <c r="O85" i="3"/>
  <c r="K85" i="3"/>
  <c r="Z84" i="3"/>
  <c r="O84" i="3"/>
  <c r="K84" i="3"/>
  <c r="Z83" i="3"/>
  <c r="O83" i="3"/>
  <c r="K83" i="3"/>
  <c r="Z82" i="3"/>
  <c r="O82" i="3"/>
  <c r="K82" i="3"/>
  <c r="Z81" i="3"/>
  <c r="O81" i="3"/>
  <c r="K81" i="3"/>
  <c r="Z80" i="3"/>
  <c r="O80" i="3"/>
  <c r="K80" i="3"/>
  <c r="Z79" i="3"/>
  <c r="O79" i="3"/>
  <c r="K79" i="3"/>
  <c r="Z78" i="3"/>
  <c r="O78" i="3"/>
  <c r="K78" i="3"/>
  <c r="Z77" i="3"/>
  <c r="O77" i="3"/>
  <c r="K77" i="3"/>
  <c r="Z76" i="3"/>
  <c r="O76" i="3"/>
  <c r="K76" i="3"/>
  <c r="Z75" i="3"/>
  <c r="O75" i="3"/>
  <c r="K75" i="3"/>
  <c r="Z74" i="3"/>
  <c r="O74" i="3"/>
  <c r="K74" i="3"/>
  <c r="Z73" i="3"/>
  <c r="O73" i="3"/>
  <c r="K73" i="3"/>
  <c r="Z72" i="3"/>
  <c r="O72" i="3"/>
  <c r="K72" i="3"/>
  <c r="Z71" i="3"/>
  <c r="O71" i="3"/>
  <c r="K71" i="3"/>
  <c r="Z70" i="3"/>
  <c r="O70" i="3"/>
  <c r="K70" i="3"/>
  <c r="Z69" i="3"/>
  <c r="O69" i="3"/>
  <c r="K69" i="3"/>
  <c r="Z68" i="3"/>
  <c r="O68" i="3"/>
  <c r="K68" i="3"/>
  <c r="Z67" i="3"/>
  <c r="O67" i="3"/>
  <c r="K67" i="3"/>
  <c r="Z66" i="3"/>
  <c r="O66" i="3"/>
  <c r="K66" i="3"/>
  <c r="Z65" i="3"/>
  <c r="O65" i="3"/>
  <c r="K65" i="3"/>
  <c r="Z64" i="3"/>
  <c r="O64" i="3"/>
  <c r="K64" i="3"/>
  <c r="Z63" i="3"/>
  <c r="O63" i="3"/>
  <c r="K63" i="3"/>
  <c r="Z62" i="3"/>
  <c r="O62" i="3"/>
  <c r="K62" i="3"/>
  <c r="Z61" i="3"/>
  <c r="O61" i="3"/>
  <c r="K61" i="3"/>
  <c r="Z60" i="3"/>
  <c r="O60" i="3"/>
  <c r="K60" i="3"/>
  <c r="Z59" i="3"/>
  <c r="O59" i="3"/>
  <c r="K59" i="3"/>
  <c r="Z58" i="3"/>
  <c r="O58" i="3"/>
  <c r="K58" i="3"/>
  <c r="Z57" i="3"/>
  <c r="O57" i="3"/>
  <c r="K57" i="3"/>
  <c r="Z56" i="3"/>
  <c r="O56" i="3"/>
  <c r="K56" i="3"/>
  <c r="Z55" i="3"/>
  <c r="O55" i="3"/>
  <c r="K55" i="3"/>
  <c r="Z54" i="3"/>
  <c r="O54" i="3"/>
  <c r="K54" i="3"/>
  <c r="Z53" i="3"/>
  <c r="O53" i="3"/>
  <c r="K53" i="3"/>
  <c r="Z52" i="3"/>
  <c r="O52" i="3"/>
  <c r="K52" i="3"/>
  <c r="Z51" i="3"/>
  <c r="O51" i="3"/>
  <c r="K51" i="3"/>
  <c r="Z50" i="3"/>
  <c r="O50" i="3"/>
  <c r="K50" i="3"/>
  <c r="Z49" i="3"/>
  <c r="O49" i="3"/>
  <c r="K49" i="3"/>
  <c r="Z48" i="3"/>
  <c r="O48" i="3"/>
  <c r="K48" i="3"/>
  <c r="Z47" i="3"/>
  <c r="O47" i="3"/>
  <c r="K47" i="3"/>
  <c r="Z46" i="3"/>
  <c r="O46" i="3"/>
  <c r="K46" i="3"/>
  <c r="Z45" i="3"/>
  <c r="O45" i="3"/>
  <c r="K45" i="3"/>
  <c r="Z44" i="3"/>
  <c r="O44" i="3"/>
  <c r="K44" i="3"/>
  <c r="Z43" i="3"/>
  <c r="O43" i="3"/>
  <c r="K43" i="3"/>
  <c r="Z42" i="3"/>
  <c r="O42" i="3"/>
  <c r="K42" i="3"/>
  <c r="Z41" i="3"/>
  <c r="O41" i="3"/>
  <c r="K41" i="3"/>
  <c r="Z40" i="3"/>
  <c r="O40" i="3"/>
  <c r="K40" i="3"/>
  <c r="Z39" i="3"/>
  <c r="O39" i="3"/>
  <c r="K39" i="3"/>
  <c r="Z38" i="3"/>
  <c r="O38" i="3"/>
  <c r="K38" i="3"/>
  <c r="Z37" i="3"/>
  <c r="O37" i="3"/>
  <c r="K37" i="3"/>
  <c r="Z36" i="3"/>
  <c r="O36" i="3"/>
  <c r="K36" i="3"/>
  <c r="Z35" i="3"/>
  <c r="O35" i="3"/>
  <c r="K35" i="3"/>
  <c r="Z34" i="3"/>
  <c r="O34" i="3"/>
  <c r="K34" i="3"/>
  <c r="Z33" i="3"/>
  <c r="O33" i="3"/>
  <c r="K33" i="3"/>
  <c r="Z32" i="3"/>
  <c r="O32" i="3"/>
  <c r="K32" i="3"/>
  <c r="Z31" i="3"/>
  <c r="O31" i="3"/>
  <c r="K31" i="3"/>
  <c r="Z30" i="3"/>
  <c r="O30" i="3"/>
  <c r="K30" i="3"/>
  <c r="Z29" i="3"/>
  <c r="O29" i="3"/>
  <c r="K29" i="3"/>
  <c r="Z28" i="3"/>
  <c r="O28" i="3"/>
  <c r="K28" i="3"/>
  <c r="Z27" i="3"/>
  <c r="O27" i="3"/>
  <c r="K27" i="3"/>
  <c r="Z26" i="3"/>
  <c r="O26" i="3"/>
  <c r="K26" i="3"/>
  <c r="Z25" i="3"/>
  <c r="O25" i="3"/>
  <c r="K25" i="3"/>
  <c r="Z24" i="3"/>
  <c r="O24" i="3"/>
  <c r="K24" i="3"/>
  <c r="Z23" i="3"/>
  <c r="O23" i="3"/>
  <c r="K23" i="3"/>
  <c r="Z22" i="3"/>
  <c r="O22" i="3"/>
  <c r="K22" i="3"/>
  <c r="Z21" i="3"/>
  <c r="O21" i="3"/>
  <c r="K21" i="3"/>
  <c r="Z20" i="3"/>
  <c r="O20" i="3"/>
  <c r="K20" i="3"/>
  <c r="Z19" i="3"/>
  <c r="O19" i="3"/>
  <c r="K19" i="3"/>
  <c r="Z18" i="3"/>
  <c r="O18" i="3"/>
  <c r="K18" i="3"/>
  <c r="Z17" i="3"/>
  <c r="O17" i="3"/>
  <c r="K17" i="3"/>
  <c r="Z16" i="3"/>
  <c r="O16" i="3"/>
  <c r="K16" i="3"/>
  <c r="Z15" i="3"/>
  <c r="O15" i="3"/>
  <c r="K15" i="3"/>
  <c r="Z14" i="3"/>
  <c r="O14" i="3"/>
  <c r="K14" i="3"/>
  <c r="Z13" i="3"/>
  <c r="O13" i="3"/>
  <c r="K13" i="3"/>
  <c r="Z12" i="3"/>
  <c r="O12" i="3"/>
  <c r="K12" i="3"/>
  <c r="Z11" i="3"/>
  <c r="O11" i="3"/>
  <c r="K11" i="3"/>
  <c r="Z10" i="3"/>
  <c r="O10" i="3"/>
  <c r="K10" i="3"/>
  <c r="Z9" i="3"/>
  <c r="O9" i="3"/>
  <c r="K9" i="3"/>
  <c r="Z8" i="3"/>
  <c r="O8" i="3"/>
  <c r="K8" i="3"/>
  <c r="Z7" i="3"/>
  <c r="O7" i="3"/>
  <c r="K7" i="3"/>
  <c r="Z6" i="3"/>
  <c r="O6" i="3"/>
  <c r="K6" i="3"/>
  <c r="Z5" i="3"/>
  <c r="O5" i="3"/>
  <c r="K5" i="3"/>
  <c r="Z4" i="3"/>
  <c r="O4" i="3"/>
  <c r="K4" i="3"/>
  <c r="Z3" i="3"/>
  <c r="O3" i="3"/>
  <c r="K3" i="3"/>
  <c r="Z2" i="3"/>
  <c r="O2" i="3"/>
  <c r="K2" i="3"/>
  <c r="L27" i="3" l="1"/>
  <c r="AA28" i="3"/>
  <c r="L26" i="3"/>
  <c r="AA26" i="3"/>
  <c r="AA27" i="3"/>
  <c r="AA104" i="3"/>
  <c r="AA221" i="3"/>
  <c r="AA289" i="3"/>
  <c r="AA419" i="3"/>
  <c r="AA574" i="3"/>
  <c r="AA573" i="3"/>
  <c r="L573" i="3"/>
  <c r="AA572" i="3"/>
  <c r="L572" i="3"/>
  <c r="AA571" i="3"/>
  <c r="L571" i="3"/>
  <c r="AA570" i="3"/>
  <c r="L570" i="3"/>
  <c r="AA569" i="3"/>
  <c r="L569" i="3"/>
  <c r="AA568" i="3"/>
  <c r="L568" i="3"/>
  <c r="AA567" i="3"/>
  <c r="L567" i="3"/>
  <c r="AA566" i="3"/>
  <c r="L566" i="3"/>
  <c r="AA565" i="3"/>
  <c r="L565" i="3"/>
  <c r="AA564" i="3"/>
  <c r="L564" i="3"/>
  <c r="AA563" i="3"/>
  <c r="L563" i="3"/>
  <c r="AA562" i="3"/>
  <c r="L562" i="3"/>
  <c r="AA561" i="3"/>
  <c r="L561" i="3"/>
  <c r="AA560" i="3"/>
  <c r="L560" i="3"/>
  <c r="AA559" i="3"/>
  <c r="L559" i="3"/>
  <c r="AA558" i="3"/>
  <c r="L558" i="3"/>
  <c r="AA557" i="3"/>
  <c r="L557" i="3"/>
  <c r="AA556" i="3"/>
  <c r="L556" i="3"/>
  <c r="AA555" i="3"/>
  <c r="L555" i="3"/>
  <c r="AA554" i="3"/>
  <c r="L554" i="3"/>
  <c r="AA553" i="3"/>
  <c r="L553" i="3"/>
  <c r="AA552" i="3"/>
  <c r="L551" i="3"/>
  <c r="AA550" i="3"/>
  <c r="L550" i="3"/>
  <c r="L549" i="3"/>
  <c r="L548" i="3"/>
  <c r="AA546" i="3"/>
  <c r="L546" i="3"/>
  <c r="L545" i="3"/>
  <c r="L544" i="3"/>
  <c r="L543" i="3"/>
  <c r="L542" i="3"/>
  <c r="AA540" i="3"/>
  <c r="L540" i="3"/>
  <c r="AA538" i="3"/>
  <c r="AA537" i="3"/>
  <c r="AA536" i="3"/>
  <c r="AA535" i="3"/>
  <c r="AA534" i="3"/>
  <c r="L534" i="3"/>
  <c r="AA532" i="3"/>
  <c r="L532" i="3"/>
  <c r="AA531" i="3"/>
  <c r="L531" i="3"/>
  <c r="L530" i="3"/>
  <c r="AA528" i="3"/>
  <c r="L528" i="3"/>
  <c r="L527" i="3"/>
  <c r="L526" i="3"/>
  <c r="L525" i="3"/>
  <c r="L524" i="3"/>
  <c r="L523" i="3"/>
  <c r="AA521" i="3"/>
  <c r="AA520" i="3"/>
  <c r="AA519" i="3"/>
  <c r="L519" i="3"/>
  <c r="AA517" i="3"/>
  <c r="AA516" i="3"/>
  <c r="L516" i="3"/>
  <c r="AA514" i="3"/>
  <c r="L514" i="3"/>
  <c r="AA512" i="3"/>
  <c r="AA511" i="3"/>
  <c r="AA510" i="3"/>
  <c r="AA509" i="3"/>
  <c r="L509" i="3"/>
  <c r="AA507" i="3"/>
  <c r="AA506" i="3"/>
  <c r="AA505" i="3"/>
  <c r="L505" i="3"/>
  <c r="L504" i="3"/>
  <c r="L503" i="3"/>
  <c r="L502" i="3"/>
  <c r="AA500" i="3"/>
  <c r="AA499" i="3"/>
  <c r="L499" i="3"/>
  <c r="L448" i="3"/>
  <c r="AA447" i="3"/>
  <c r="AA445" i="3"/>
  <c r="L444" i="3"/>
  <c r="AA442" i="3"/>
  <c r="AA441" i="3"/>
  <c r="AA439" i="3"/>
  <c r="AA437" i="3"/>
  <c r="AA435" i="3"/>
  <c r="L434" i="3"/>
  <c r="AA433" i="3"/>
  <c r="AA431" i="3"/>
  <c r="L430" i="3"/>
  <c r="AA428" i="3"/>
  <c r="L427" i="3"/>
  <c r="AA425" i="3"/>
  <c r="L424" i="3"/>
  <c r="AA422" i="3"/>
  <c r="L421" i="3"/>
  <c r="L420" i="3"/>
  <c r="L375" i="3"/>
  <c r="AA373" i="3"/>
  <c r="AA371" i="3"/>
  <c r="AA369" i="3"/>
  <c r="AA367" i="3"/>
  <c r="L366" i="3"/>
  <c r="L365" i="3"/>
  <c r="L363" i="3"/>
  <c r="L361" i="3"/>
  <c r="L359" i="3"/>
  <c r="L357" i="3"/>
  <c r="AA354" i="3"/>
  <c r="AA351" i="3"/>
  <c r="L349" i="3"/>
  <c r="AA347" i="3"/>
  <c r="AA344" i="3"/>
  <c r="L342" i="3"/>
  <c r="L270" i="3"/>
  <c r="AA267" i="3"/>
  <c r="AA264" i="3"/>
  <c r="L262" i="3"/>
  <c r="L192" i="3"/>
  <c r="L190" i="3"/>
  <c r="L188" i="3"/>
  <c r="AA185" i="3"/>
  <c r="L98" i="3"/>
  <c r="AA94" i="3"/>
  <c r="L90" i="3"/>
  <c r="L86" i="3"/>
  <c r="AA83" i="3"/>
  <c r="L78" i="3"/>
  <c r="AA74" i="3"/>
  <c r="L70" i="3"/>
  <c r="L68" i="3"/>
  <c r="L65" i="3"/>
  <c r="L61" i="3"/>
  <c r="AA58" i="3"/>
  <c r="AA54" i="3"/>
  <c r="AA50" i="3"/>
  <c r="AA46" i="3"/>
  <c r="L42" i="3"/>
  <c r="AA38" i="3"/>
  <c r="AA34" i="3"/>
  <c r="AA29" i="3"/>
  <c r="L498" i="3"/>
  <c r="AA497" i="3"/>
  <c r="L497" i="3"/>
  <c r="AA496" i="3"/>
  <c r="L496" i="3"/>
  <c r="AA495" i="3"/>
  <c r="L495" i="3"/>
  <c r="AA494" i="3"/>
  <c r="L494" i="3"/>
  <c r="AA493" i="3"/>
  <c r="L493" i="3"/>
  <c r="AA492" i="3"/>
  <c r="L492" i="3"/>
  <c r="AA491" i="3"/>
  <c r="L491" i="3"/>
  <c r="AA490" i="3"/>
  <c r="L490" i="3"/>
  <c r="AA489" i="3"/>
  <c r="L489" i="3"/>
  <c r="AA488" i="3"/>
  <c r="L488" i="3"/>
  <c r="AA487" i="3"/>
  <c r="L487" i="3"/>
  <c r="AA486" i="3"/>
  <c r="L486" i="3"/>
  <c r="AA485" i="3"/>
  <c r="L485" i="3"/>
  <c r="AA484" i="3"/>
  <c r="L484" i="3"/>
  <c r="AA483" i="3"/>
  <c r="L483" i="3"/>
  <c r="AA482" i="3"/>
  <c r="L482" i="3"/>
  <c r="AA481" i="3"/>
  <c r="L481" i="3"/>
  <c r="AA480" i="3"/>
  <c r="L480" i="3"/>
  <c r="AA479" i="3"/>
  <c r="L479" i="3"/>
  <c r="AA478" i="3"/>
  <c r="L478" i="3"/>
  <c r="AA477" i="3"/>
  <c r="L477" i="3"/>
  <c r="AA476" i="3"/>
  <c r="L476" i="3"/>
  <c r="AA475" i="3"/>
  <c r="L475" i="3"/>
  <c r="AA474" i="3"/>
  <c r="L474" i="3"/>
  <c r="AA473" i="3"/>
  <c r="L473" i="3"/>
  <c r="AA472" i="3"/>
  <c r="L472" i="3"/>
  <c r="AA471" i="3"/>
  <c r="L471" i="3"/>
  <c r="AA470" i="3"/>
  <c r="L470" i="3"/>
  <c r="AA469" i="3"/>
  <c r="L469" i="3"/>
  <c r="AA468" i="3"/>
  <c r="L468" i="3"/>
  <c r="AA467" i="3"/>
  <c r="L467" i="3"/>
  <c r="AA466" i="3"/>
  <c r="L466" i="3"/>
  <c r="AA465" i="3"/>
  <c r="L465" i="3"/>
  <c r="AA464" i="3"/>
  <c r="L464" i="3"/>
  <c r="AA463" i="3"/>
  <c r="L463" i="3"/>
  <c r="AA462" i="3"/>
  <c r="L462" i="3"/>
  <c r="AA461" i="3"/>
  <c r="L461" i="3"/>
  <c r="AA460" i="3"/>
  <c r="L460" i="3"/>
  <c r="AA459" i="3"/>
  <c r="L459" i="3"/>
  <c r="AA458" i="3"/>
  <c r="L458" i="3"/>
  <c r="AA457" i="3"/>
  <c r="L457" i="3"/>
  <c r="AA456" i="3"/>
  <c r="L456" i="3"/>
  <c r="AA455" i="3"/>
  <c r="L455" i="3"/>
  <c r="AA454" i="3"/>
  <c r="L454" i="3"/>
  <c r="AA453" i="3"/>
  <c r="L453" i="3"/>
  <c r="AA452" i="3"/>
  <c r="L452" i="3"/>
  <c r="AA451" i="3"/>
  <c r="L451" i="3"/>
  <c r="AA450" i="3"/>
  <c r="L450" i="3"/>
  <c r="AA449" i="3"/>
  <c r="AA448" i="3"/>
  <c r="AA446" i="3"/>
  <c r="L445" i="3"/>
  <c r="AA443" i="3"/>
  <c r="L442" i="3"/>
  <c r="AA440" i="3"/>
  <c r="AA438" i="3"/>
  <c r="L437" i="3"/>
  <c r="L436" i="3"/>
  <c r="L435" i="3"/>
  <c r="L433" i="3"/>
  <c r="L432" i="3"/>
  <c r="AA430" i="3"/>
  <c r="L429" i="3"/>
  <c r="AA427" i="3"/>
  <c r="L426" i="3"/>
  <c r="AA424" i="3"/>
  <c r="L423" i="3"/>
  <c r="L422" i="3"/>
  <c r="AA420" i="3"/>
  <c r="AA375" i="3"/>
  <c r="L373" i="3"/>
  <c r="L371" i="3"/>
  <c r="L369" i="3"/>
  <c r="L368" i="3"/>
  <c r="AA364" i="3"/>
  <c r="AA362" i="3"/>
  <c r="AA360" i="3"/>
  <c r="AA358" i="3"/>
  <c r="L356" i="3"/>
  <c r="AA355" i="3"/>
  <c r="AA352" i="3"/>
  <c r="AA349" i="3"/>
  <c r="L347" i="3"/>
  <c r="L345" i="3"/>
  <c r="L344" i="3"/>
  <c r="AA341" i="3"/>
  <c r="AA268" i="3"/>
  <c r="AA265" i="3"/>
  <c r="AA262" i="3"/>
  <c r="AA192" i="3"/>
  <c r="L189" i="3"/>
  <c r="AA186" i="3"/>
  <c r="AA183" i="3"/>
  <c r="L96" i="3"/>
  <c r="L93" i="3"/>
  <c r="AA88" i="3"/>
  <c r="AA84" i="3"/>
  <c r="L80" i="3"/>
  <c r="L77" i="3"/>
  <c r="L75" i="3"/>
  <c r="AA71" i="3"/>
  <c r="L67" i="3"/>
  <c r="AA64" i="3"/>
  <c r="L59" i="3"/>
  <c r="L55" i="3"/>
  <c r="AA51" i="3"/>
  <c r="L47" i="3"/>
  <c r="L46" i="3"/>
  <c r="AA42" i="3"/>
  <c r="L39" i="3"/>
  <c r="AA35" i="3"/>
  <c r="AA31" i="3"/>
  <c r="L419" i="3"/>
  <c r="AA418" i="3"/>
  <c r="L418" i="3"/>
  <c r="AA417" i="3"/>
  <c r="L417" i="3"/>
  <c r="AA416" i="3"/>
  <c r="L416" i="3"/>
  <c r="AA415" i="3"/>
  <c r="L415" i="3"/>
  <c r="AA414" i="3"/>
  <c r="L414" i="3"/>
  <c r="AA413" i="3"/>
  <c r="L413" i="3"/>
  <c r="AA412" i="3"/>
  <c r="L412" i="3"/>
  <c r="AA411" i="3"/>
  <c r="L411" i="3"/>
  <c r="AA410" i="3"/>
  <c r="L410" i="3"/>
  <c r="AA409" i="3"/>
  <c r="L409" i="3"/>
  <c r="AA408" i="3"/>
  <c r="L408" i="3"/>
  <c r="AA407" i="3"/>
  <c r="L407" i="3"/>
  <c r="AA406" i="3"/>
  <c r="L406" i="3"/>
  <c r="AA405" i="3"/>
  <c r="L405" i="3"/>
  <c r="AA404" i="3"/>
  <c r="L404" i="3"/>
  <c r="AA403" i="3"/>
  <c r="L403" i="3"/>
  <c r="AA402" i="3"/>
  <c r="L402" i="3"/>
  <c r="AA401" i="3"/>
  <c r="L401" i="3"/>
  <c r="AA400" i="3"/>
  <c r="L400" i="3"/>
  <c r="AA399" i="3"/>
  <c r="L399" i="3"/>
  <c r="AA398" i="3"/>
  <c r="L398" i="3"/>
  <c r="AA397" i="3"/>
  <c r="L397" i="3"/>
  <c r="AA396" i="3"/>
  <c r="L396" i="3"/>
  <c r="AA395" i="3"/>
  <c r="L395" i="3"/>
  <c r="AA394" i="3"/>
  <c r="L394" i="3"/>
  <c r="AA393" i="3"/>
  <c r="L393" i="3"/>
  <c r="AA392" i="3"/>
  <c r="L392" i="3"/>
  <c r="AA391" i="3"/>
  <c r="L391" i="3"/>
  <c r="AA390" i="3"/>
  <c r="L390" i="3"/>
  <c r="AA389" i="3"/>
  <c r="L389" i="3"/>
  <c r="AA388" i="3"/>
  <c r="L388" i="3"/>
  <c r="AA387" i="3"/>
  <c r="L387" i="3"/>
  <c r="AA386" i="3"/>
  <c r="L386" i="3"/>
  <c r="AA385" i="3"/>
  <c r="L385" i="3"/>
  <c r="AA384" i="3"/>
  <c r="L384" i="3"/>
  <c r="AA383" i="3"/>
  <c r="L383" i="3"/>
  <c r="AA382" i="3"/>
  <c r="L382" i="3"/>
  <c r="AA381" i="3"/>
  <c r="L381" i="3"/>
  <c r="AA380" i="3"/>
  <c r="L380" i="3"/>
  <c r="AA379" i="3"/>
  <c r="L379" i="3"/>
  <c r="AA378" i="3"/>
  <c r="L378" i="3"/>
  <c r="AA377" i="3"/>
  <c r="L377" i="3"/>
  <c r="L376" i="3"/>
  <c r="AA374" i="3"/>
  <c r="AA372" i="3"/>
  <c r="AA370" i="3"/>
  <c r="AA366" i="3"/>
  <c r="L364" i="3"/>
  <c r="AA361" i="3"/>
  <c r="AA359" i="3"/>
  <c r="AA357" i="3"/>
  <c r="L354" i="3"/>
  <c r="AA353" i="3"/>
  <c r="AA350" i="3"/>
  <c r="L348" i="3"/>
  <c r="L346" i="3"/>
  <c r="AA343" i="3"/>
  <c r="L341" i="3"/>
  <c r="L268" i="3"/>
  <c r="AA266" i="3"/>
  <c r="L263" i="3"/>
  <c r="L194" i="3"/>
  <c r="AA189" i="3"/>
  <c r="L186" i="3"/>
  <c r="L184" i="3"/>
  <c r="AA98" i="3"/>
  <c r="L94" i="3"/>
  <c r="L91" i="3"/>
  <c r="L87" i="3"/>
  <c r="L83" i="3"/>
  <c r="AA80" i="3"/>
  <c r="AA76" i="3"/>
  <c r="L72" i="3"/>
  <c r="AA68" i="3"/>
  <c r="L64" i="3"/>
  <c r="AA60" i="3"/>
  <c r="AA56" i="3"/>
  <c r="L53" i="3"/>
  <c r="AA49" i="3"/>
  <c r="AA44" i="3"/>
  <c r="L40" i="3"/>
  <c r="AA36" i="3"/>
  <c r="L32" i="3"/>
  <c r="L31" i="3"/>
  <c r="AA340" i="3"/>
  <c r="L340" i="3"/>
  <c r="AA339" i="3"/>
  <c r="L339" i="3"/>
  <c r="AA338" i="3"/>
  <c r="L338" i="3"/>
  <c r="AA337" i="3"/>
  <c r="L337" i="3"/>
  <c r="AA336" i="3"/>
  <c r="L336" i="3"/>
  <c r="AA335" i="3"/>
  <c r="L335" i="3"/>
  <c r="AA334" i="3"/>
  <c r="L334" i="3"/>
  <c r="AA333" i="3"/>
  <c r="L333" i="3"/>
  <c r="AA332" i="3"/>
  <c r="L332" i="3"/>
  <c r="AA331" i="3"/>
  <c r="L331" i="3"/>
  <c r="AA330" i="3"/>
  <c r="L330" i="3"/>
  <c r="AA329" i="3"/>
  <c r="L329" i="3"/>
  <c r="AA328" i="3"/>
  <c r="L328" i="3"/>
  <c r="AA327" i="3"/>
  <c r="L327" i="3"/>
  <c r="AA326" i="3"/>
  <c r="L326" i="3"/>
  <c r="AA325" i="3"/>
  <c r="L325" i="3"/>
  <c r="AA324" i="3"/>
  <c r="L324" i="3"/>
  <c r="AA323" i="3"/>
  <c r="L323" i="3"/>
  <c r="AA322" i="3"/>
  <c r="L322" i="3"/>
  <c r="AA321" i="3"/>
  <c r="L321" i="3"/>
  <c r="AA320" i="3"/>
  <c r="L320" i="3"/>
  <c r="AA319" i="3"/>
  <c r="L319" i="3"/>
  <c r="AA318" i="3"/>
  <c r="L318" i="3"/>
  <c r="AA317" i="3"/>
  <c r="L317" i="3"/>
  <c r="AA316" i="3"/>
  <c r="L316" i="3"/>
  <c r="AA315" i="3"/>
  <c r="L315" i="3"/>
  <c r="AA314" i="3"/>
  <c r="L314" i="3"/>
  <c r="AA313" i="3"/>
  <c r="L313" i="3"/>
  <c r="AA312" i="3"/>
  <c r="L312" i="3"/>
  <c r="AA311" i="3"/>
  <c r="L311" i="3"/>
  <c r="AA310" i="3"/>
  <c r="L310" i="3"/>
  <c r="AA309" i="3"/>
  <c r="L309" i="3"/>
  <c r="AA308" i="3"/>
  <c r="L308" i="3"/>
  <c r="AA307" i="3"/>
  <c r="L307" i="3"/>
  <c r="AA306" i="3"/>
  <c r="L306" i="3"/>
  <c r="AA305" i="3"/>
  <c r="L305" i="3"/>
  <c r="AA304" i="3"/>
  <c r="L304" i="3"/>
  <c r="AA303" i="3"/>
  <c r="L303" i="3"/>
  <c r="AA302" i="3"/>
  <c r="L302" i="3"/>
  <c r="AA301" i="3"/>
  <c r="L301" i="3"/>
  <c r="AA300" i="3"/>
  <c r="L300" i="3"/>
  <c r="AA299" i="3"/>
  <c r="L299" i="3"/>
  <c r="AA298" i="3"/>
  <c r="L298" i="3"/>
  <c r="AA297" i="3"/>
  <c r="L297" i="3"/>
  <c r="AA296" i="3"/>
  <c r="L296" i="3"/>
  <c r="AA295" i="3"/>
  <c r="L295" i="3"/>
  <c r="AA294" i="3"/>
  <c r="L294" i="3"/>
  <c r="AA293" i="3"/>
  <c r="L293" i="3"/>
  <c r="AA292" i="3"/>
  <c r="L292" i="3"/>
  <c r="AA291" i="3"/>
  <c r="L291" i="3"/>
  <c r="AA290" i="3"/>
  <c r="L290" i="3"/>
  <c r="L289" i="3"/>
  <c r="AA288" i="3"/>
  <c r="L288" i="3"/>
  <c r="AA287" i="3"/>
  <c r="L287" i="3"/>
  <c r="AA286" i="3"/>
  <c r="L286" i="3"/>
  <c r="AA285" i="3"/>
  <c r="L285" i="3"/>
  <c r="AA284" i="3"/>
  <c r="L284" i="3"/>
  <c r="AA283" i="3"/>
  <c r="L283" i="3"/>
  <c r="AA282" i="3"/>
  <c r="L282" i="3"/>
  <c r="AA281" i="3"/>
  <c r="L281" i="3"/>
  <c r="AA280" i="3"/>
  <c r="L280" i="3"/>
  <c r="AA279" i="3"/>
  <c r="L279" i="3"/>
  <c r="AA278" i="3"/>
  <c r="L278" i="3"/>
  <c r="AA277" i="3"/>
  <c r="L277" i="3"/>
  <c r="AA276" i="3"/>
  <c r="L276" i="3"/>
  <c r="AA275" i="3"/>
  <c r="L275" i="3"/>
  <c r="AA274" i="3"/>
  <c r="L274" i="3"/>
  <c r="AA273" i="3"/>
  <c r="L273" i="3"/>
  <c r="AA272" i="3"/>
  <c r="L272" i="3"/>
  <c r="AA271" i="3"/>
  <c r="L271" i="3"/>
  <c r="AA270" i="3"/>
  <c r="AA269" i="3"/>
  <c r="L267" i="3"/>
  <c r="L265" i="3"/>
  <c r="AA263" i="3"/>
  <c r="L193" i="3"/>
  <c r="L191" i="3"/>
  <c r="AA187" i="3"/>
  <c r="L99" i="3"/>
  <c r="AA96" i="3"/>
  <c r="AA92" i="3"/>
  <c r="L88" i="3"/>
  <c r="AA85" i="3"/>
  <c r="L81" i="3"/>
  <c r="AA77" i="3"/>
  <c r="AA73" i="3"/>
  <c r="L69" i="3"/>
  <c r="AA66" i="3"/>
  <c r="AA62" i="3"/>
  <c r="L58" i="3"/>
  <c r="AA55" i="3"/>
  <c r="L51" i="3"/>
  <c r="AA47" i="3"/>
  <c r="L44" i="3"/>
  <c r="L41" i="3"/>
  <c r="L37" i="3"/>
  <c r="L34" i="3"/>
  <c r="L30" i="3"/>
  <c r="AA261" i="3"/>
  <c r="L261" i="3"/>
  <c r="AA260" i="3"/>
  <c r="L260" i="3"/>
  <c r="AA259" i="3"/>
  <c r="L259" i="3"/>
  <c r="AA258" i="3"/>
  <c r="L258" i="3"/>
  <c r="AA257" i="3"/>
  <c r="L257" i="3"/>
  <c r="AA256" i="3"/>
  <c r="L256" i="3"/>
  <c r="AA255" i="3"/>
  <c r="L255" i="3"/>
  <c r="AA254" i="3"/>
  <c r="L254" i="3"/>
  <c r="AA253" i="3"/>
  <c r="L253" i="3"/>
  <c r="AA252" i="3"/>
  <c r="L252" i="3"/>
  <c r="AA251" i="3"/>
  <c r="L251" i="3"/>
  <c r="AA250" i="3"/>
  <c r="L250" i="3"/>
  <c r="AA249" i="3"/>
  <c r="L249" i="3"/>
  <c r="AA248" i="3"/>
  <c r="L248" i="3"/>
  <c r="AA247" i="3"/>
  <c r="L247" i="3"/>
  <c r="AA246" i="3"/>
  <c r="L246" i="3"/>
  <c r="AA245" i="3"/>
  <c r="L245" i="3"/>
  <c r="AA244" i="3"/>
  <c r="L244" i="3"/>
  <c r="AA243" i="3"/>
  <c r="L243" i="3"/>
  <c r="AA242" i="3"/>
  <c r="L242" i="3"/>
  <c r="AA241" i="3"/>
  <c r="L241" i="3"/>
  <c r="AA240" i="3"/>
  <c r="L240" i="3"/>
  <c r="AA239" i="3"/>
  <c r="L239" i="3"/>
  <c r="AA238" i="3"/>
  <c r="L238" i="3"/>
  <c r="AA237" i="3"/>
  <c r="L237" i="3"/>
  <c r="AA236" i="3"/>
  <c r="L236" i="3"/>
  <c r="AA235" i="3"/>
  <c r="L235" i="3"/>
  <c r="AA234" i="3"/>
  <c r="L234" i="3"/>
  <c r="AA233" i="3"/>
  <c r="L233" i="3"/>
  <c r="AA232" i="3"/>
  <c r="L232" i="3"/>
  <c r="AA231" i="3"/>
  <c r="L231" i="3"/>
  <c r="AA230" i="3"/>
  <c r="L230" i="3"/>
  <c r="AA229" i="3"/>
  <c r="L229" i="3"/>
  <c r="AA228" i="3"/>
  <c r="L228" i="3"/>
  <c r="AA227" i="3"/>
  <c r="L227" i="3"/>
  <c r="AA226" i="3"/>
  <c r="L226" i="3"/>
  <c r="AA225" i="3"/>
  <c r="L225" i="3"/>
  <c r="AA224" i="3"/>
  <c r="L224" i="3"/>
  <c r="AA223" i="3"/>
  <c r="L223" i="3"/>
  <c r="AA222" i="3"/>
  <c r="L222" i="3"/>
  <c r="L221" i="3"/>
  <c r="AA220" i="3"/>
  <c r="L220" i="3"/>
  <c r="AA219" i="3"/>
  <c r="L219" i="3"/>
  <c r="AA218" i="3"/>
  <c r="L218" i="3"/>
  <c r="AA217" i="3"/>
  <c r="L217" i="3"/>
  <c r="AA216" i="3"/>
  <c r="L216" i="3"/>
  <c r="AA215" i="3"/>
  <c r="L215" i="3"/>
  <c r="AA214" i="3"/>
  <c r="L214" i="3"/>
  <c r="AA213" i="3"/>
  <c r="L213" i="3"/>
  <c r="AA212" i="3"/>
  <c r="L212" i="3"/>
  <c r="AA211" i="3"/>
  <c r="L211" i="3"/>
  <c r="AA210" i="3"/>
  <c r="L210" i="3"/>
  <c r="AA209" i="3"/>
  <c r="L209" i="3"/>
  <c r="AA208" i="3"/>
  <c r="L208" i="3"/>
  <c r="AA207" i="3"/>
  <c r="L207" i="3"/>
  <c r="AA206" i="3"/>
  <c r="L206" i="3"/>
  <c r="AA205" i="3"/>
  <c r="L205" i="3"/>
  <c r="AA204" i="3"/>
  <c r="L204" i="3"/>
  <c r="AA203" i="3"/>
  <c r="L203" i="3"/>
  <c r="AA202" i="3"/>
  <c r="L202" i="3"/>
  <c r="AA201" i="3"/>
  <c r="L201" i="3"/>
  <c r="AA200" i="3"/>
  <c r="L200" i="3"/>
  <c r="AA199" i="3"/>
  <c r="L199" i="3"/>
  <c r="AA198" i="3"/>
  <c r="L198" i="3"/>
  <c r="AA197" i="3"/>
  <c r="L197" i="3"/>
  <c r="AA196" i="3"/>
  <c r="L196" i="3"/>
  <c r="AA195" i="3"/>
  <c r="L195" i="3"/>
  <c r="AA193" i="3"/>
  <c r="AA190" i="3"/>
  <c r="L187" i="3"/>
  <c r="AA184" i="3"/>
  <c r="AA95" i="3"/>
  <c r="L92" i="3"/>
  <c r="L89" i="3"/>
  <c r="L85" i="3"/>
  <c r="AA82" i="3"/>
  <c r="AA78" i="3"/>
  <c r="L73" i="3"/>
  <c r="L71" i="3"/>
  <c r="AA67" i="3"/>
  <c r="AA63" i="3"/>
  <c r="AA59" i="3"/>
  <c r="L56" i="3"/>
  <c r="L52" i="3"/>
  <c r="AA48" i="3"/>
  <c r="AA43" i="3"/>
  <c r="AA39" i="3"/>
  <c r="L36" i="3"/>
  <c r="AA32" i="3"/>
  <c r="L183" i="3"/>
  <c r="AA182" i="3"/>
  <c r="L182" i="3"/>
  <c r="AA181" i="3"/>
  <c r="L181" i="3"/>
  <c r="AA180" i="3"/>
  <c r="L180" i="3"/>
  <c r="AA179" i="3"/>
  <c r="L179" i="3"/>
  <c r="AA178" i="3"/>
  <c r="L178" i="3"/>
  <c r="AA177" i="3"/>
  <c r="L177" i="3"/>
  <c r="AA176" i="3"/>
  <c r="L176" i="3"/>
  <c r="AA175" i="3"/>
  <c r="L175" i="3"/>
  <c r="AA174" i="3"/>
  <c r="L174" i="3"/>
  <c r="AA173" i="3"/>
  <c r="L173" i="3"/>
  <c r="AA172" i="3"/>
  <c r="L172" i="3"/>
  <c r="AA171" i="3"/>
  <c r="L171" i="3"/>
  <c r="AA170" i="3"/>
  <c r="L170" i="3"/>
  <c r="AA169" i="3"/>
  <c r="L169" i="3"/>
  <c r="AA168" i="3"/>
  <c r="L168" i="3"/>
  <c r="AA167" i="3"/>
  <c r="L167" i="3"/>
  <c r="AA166" i="3"/>
  <c r="L166" i="3"/>
  <c r="AA165" i="3"/>
  <c r="L165" i="3"/>
  <c r="AA164" i="3"/>
  <c r="L164" i="3"/>
  <c r="AA163" i="3"/>
  <c r="L163" i="3"/>
  <c r="AA162" i="3"/>
  <c r="L162" i="3"/>
  <c r="AA161" i="3"/>
  <c r="L161" i="3"/>
  <c r="AA160" i="3"/>
  <c r="L160" i="3"/>
  <c r="AA159" i="3"/>
  <c r="L159" i="3"/>
  <c r="AA158" i="3"/>
  <c r="L158" i="3"/>
  <c r="AA157" i="3"/>
  <c r="L157" i="3"/>
  <c r="AA156" i="3"/>
  <c r="L156" i="3"/>
  <c r="AA155" i="3"/>
  <c r="L155" i="3"/>
  <c r="AA154" i="3"/>
  <c r="L154" i="3"/>
  <c r="AA153" i="3"/>
  <c r="L153" i="3"/>
  <c r="AA152" i="3"/>
  <c r="L152" i="3"/>
  <c r="AA151" i="3"/>
  <c r="L151" i="3"/>
  <c r="AA150" i="3"/>
  <c r="L150" i="3"/>
  <c r="AA149" i="3"/>
  <c r="L149" i="3"/>
  <c r="AA148" i="3"/>
  <c r="L148" i="3"/>
  <c r="AA147" i="3"/>
  <c r="L147" i="3"/>
  <c r="AA146" i="3"/>
  <c r="L146" i="3"/>
  <c r="AA145" i="3"/>
  <c r="L145" i="3"/>
  <c r="AA144" i="3"/>
  <c r="L144" i="3"/>
  <c r="AA143" i="3"/>
  <c r="L143" i="3"/>
  <c r="AA142" i="3"/>
  <c r="L142" i="3"/>
  <c r="AA141" i="3"/>
  <c r="L141" i="3"/>
  <c r="AA140" i="3"/>
  <c r="L140" i="3"/>
  <c r="AA139" i="3"/>
  <c r="L139" i="3"/>
  <c r="AA138" i="3"/>
  <c r="L138" i="3"/>
  <c r="AA137" i="3"/>
  <c r="L137" i="3"/>
  <c r="AA136" i="3"/>
  <c r="L136" i="3"/>
  <c r="AA135" i="3"/>
  <c r="L135" i="3"/>
  <c r="AA134" i="3"/>
  <c r="L134" i="3"/>
  <c r="AA133" i="3"/>
  <c r="L133" i="3"/>
  <c r="AA132" i="3"/>
  <c r="L132" i="3"/>
  <c r="AA131" i="3"/>
  <c r="L131" i="3"/>
  <c r="AA130" i="3"/>
  <c r="L130" i="3"/>
  <c r="AA129" i="3"/>
  <c r="L129" i="3"/>
  <c r="AA128" i="3"/>
  <c r="L128" i="3"/>
  <c r="AA127" i="3"/>
  <c r="L127" i="3"/>
  <c r="AA126" i="3"/>
  <c r="L126" i="3"/>
  <c r="AA125" i="3"/>
  <c r="L125" i="3"/>
  <c r="AA124" i="3"/>
  <c r="L124" i="3"/>
  <c r="AA123" i="3"/>
  <c r="L123" i="3"/>
  <c r="AA122" i="3"/>
  <c r="L122" i="3"/>
  <c r="AA121" i="3"/>
  <c r="L121" i="3"/>
  <c r="AA120" i="3"/>
  <c r="L120" i="3"/>
  <c r="AA119" i="3"/>
  <c r="L119" i="3"/>
  <c r="AA118" i="3"/>
  <c r="L118" i="3"/>
  <c r="AA117" i="3"/>
  <c r="L117" i="3"/>
  <c r="AA116" i="3"/>
  <c r="L116" i="3"/>
  <c r="AA115" i="3"/>
  <c r="L115" i="3"/>
  <c r="AA114" i="3"/>
  <c r="L114" i="3"/>
  <c r="AA113" i="3"/>
  <c r="L113" i="3"/>
  <c r="AA112" i="3"/>
  <c r="L112" i="3"/>
  <c r="AA111" i="3"/>
  <c r="L111" i="3"/>
  <c r="AA110" i="3"/>
  <c r="L110" i="3"/>
  <c r="AA109" i="3"/>
  <c r="L109" i="3"/>
  <c r="AA108" i="3"/>
  <c r="L108" i="3"/>
  <c r="AA107" i="3"/>
  <c r="L107" i="3"/>
  <c r="AA106" i="3"/>
  <c r="L106" i="3"/>
  <c r="AA105" i="3"/>
  <c r="L105" i="3"/>
  <c r="L104" i="3"/>
  <c r="AA103" i="3"/>
  <c r="L103" i="3"/>
  <c r="AA102" i="3"/>
  <c r="L102" i="3"/>
  <c r="AA101" i="3"/>
  <c r="L101" i="3"/>
  <c r="AA100" i="3"/>
  <c r="L100" i="3"/>
  <c r="AA99" i="3"/>
  <c r="L97" i="3"/>
  <c r="L95" i="3"/>
  <c r="AA91" i="3"/>
  <c r="AA89" i="3"/>
  <c r="AA87" i="3"/>
  <c r="L84" i="3"/>
  <c r="AA81" i="3"/>
  <c r="AA79" i="3"/>
  <c r="L76" i="3"/>
  <c r="L74" i="3"/>
  <c r="AA72" i="3"/>
  <c r="AA69" i="3"/>
  <c r="L66" i="3"/>
  <c r="L63" i="3"/>
  <c r="L62" i="3"/>
  <c r="L60" i="3"/>
  <c r="AA57" i="3"/>
  <c r="L54" i="3"/>
  <c r="AA52" i="3"/>
  <c r="L50" i="3"/>
  <c r="L48" i="3"/>
  <c r="L45" i="3"/>
  <c r="L43" i="3"/>
  <c r="AA40" i="3"/>
  <c r="L38" i="3"/>
  <c r="L35" i="3"/>
  <c r="L33" i="3"/>
  <c r="AA30" i="3"/>
  <c r="L28" i="3"/>
  <c r="AA25" i="3"/>
  <c r="L25" i="3"/>
  <c r="AA24" i="3"/>
  <c r="L24" i="3"/>
  <c r="AA23" i="3"/>
  <c r="L23" i="3"/>
  <c r="AA22" i="3"/>
  <c r="L22" i="3"/>
  <c r="AA21" i="3"/>
  <c r="L21" i="3"/>
  <c r="AA20" i="3"/>
  <c r="L20" i="3"/>
  <c r="AA19" i="3"/>
  <c r="L19" i="3"/>
  <c r="AA18" i="3"/>
  <c r="L18" i="3"/>
  <c r="AA17" i="3"/>
  <c r="L17" i="3"/>
  <c r="AA16" i="3"/>
  <c r="L16" i="3"/>
  <c r="AA15" i="3"/>
  <c r="L15" i="3"/>
  <c r="AA14" i="3"/>
  <c r="L14" i="3"/>
  <c r="AA13" i="3"/>
  <c r="L13" i="3"/>
  <c r="AA12" i="3"/>
  <c r="L12" i="3"/>
  <c r="AA11" i="3"/>
  <c r="L11" i="3"/>
  <c r="AA10" i="3"/>
  <c r="L10" i="3"/>
  <c r="AA9" i="3"/>
  <c r="L9" i="3"/>
  <c r="AA8" i="3"/>
  <c r="L8" i="3"/>
  <c r="AA7" i="3"/>
  <c r="L7" i="3"/>
  <c r="AA6" i="3"/>
  <c r="L6" i="3"/>
  <c r="AA5" i="3"/>
  <c r="L5" i="3"/>
  <c r="AA4" i="3"/>
  <c r="L4" i="3"/>
  <c r="AA3" i="3"/>
  <c r="L3" i="3"/>
  <c r="AA2" i="3"/>
  <c r="L2" i="3"/>
  <c r="L552" i="3"/>
  <c r="AA551" i="3"/>
  <c r="AA549" i="3"/>
  <c r="AA548" i="3"/>
  <c r="AA547" i="3"/>
  <c r="L547" i="3"/>
  <c r="AA545" i="3"/>
  <c r="AA544" i="3"/>
  <c r="AA543" i="3"/>
  <c r="AA542" i="3"/>
  <c r="AA541" i="3"/>
  <c r="L541" i="3"/>
  <c r="AA539" i="3"/>
  <c r="L539" i="3"/>
  <c r="L538" i="3"/>
  <c r="L537" i="3"/>
  <c r="L536" i="3"/>
  <c r="L535" i="3"/>
  <c r="AA533" i="3"/>
  <c r="L533" i="3"/>
  <c r="AA530" i="3"/>
  <c r="AA529" i="3"/>
  <c r="L529" i="3"/>
  <c r="AA527" i="3"/>
  <c r="AA526" i="3"/>
  <c r="AA525" i="3"/>
  <c r="AA524" i="3"/>
  <c r="AA523" i="3"/>
  <c r="AA522" i="3"/>
  <c r="L522" i="3"/>
  <c r="L521" i="3"/>
  <c r="L520" i="3"/>
  <c r="AA518" i="3"/>
  <c r="L518" i="3"/>
  <c r="L517" i="3"/>
  <c r="AA515" i="3"/>
  <c r="L515" i="3"/>
  <c r="AA513" i="3"/>
  <c r="L513" i="3"/>
  <c r="L512" i="3"/>
  <c r="L511" i="3"/>
  <c r="L510" i="3"/>
  <c r="AA508" i="3"/>
  <c r="L508" i="3"/>
  <c r="L507" i="3"/>
  <c r="L506" i="3"/>
  <c r="AA504" i="3"/>
  <c r="AA503" i="3"/>
  <c r="AA502" i="3"/>
  <c r="AA501" i="3"/>
  <c r="L501" i="3"/>
  <c r="L500" i="3"/>
  <c r="AA498" i="3"/>
  <c r="L449" i="3"/>
  <c r="L447" i="3"/>
  <c r="L446" i="3"/>
  <c r="AA444" i="3"/>
  <c r="L443" i="3"/>
  <c r="L441" i="3"/>
  <c r="L440" i="3"/>
  <c r="L439" i="3"/>
  <c r="L438" i="3"/>
  <c r="AA436" i="3"/>
  <c r="AA434" i="3"/>
  <c r="AA432" i="3"/>
  <c r="L431" i="3"/>
  <c r="AA429" i="3"/>
  <c r="L428" i="3"/>
  <c r="AA426" i="3"/>
  <c r="L425" i="3"/>
  <c r="AA423" i="3"/>
  <c r="AA421" i="3"/>
  <c r="AA376" i="3"/>
  <c r="L374" i="3"/>
  <c r="L372" i="3"/>
  <c r="L370" i="3"/>
  <c r="AA368" i="3"/>
  <c r="L367" i="3"/>
  <c r="AA365" i="3"/>
  <c r="AA363" i="3"/>
  <c r="L362" i="3"/>
  <c r="L360" i="3"/>
  <c r="L358" i="3"/>
  <c r="AA356" i="3"/>
  <c r="L355" i="3"/>
  <c r="L353" i="3"/>
  <c r="L352" i="3"/>
  <c r="L351" i="3"/>
  <c r="L350" i="3"/>
  <c r="AA348" i="3"/>
  <c r="AA346" i="3"/>
  <c r="AA345" i="3"/>
  <c r="L343" i="3"/>
  <c r="AA342" i="3"/>
  <c r="L269" i="3"/>
  <c r="L266" i="3"/>
  <c r="L264" i="3"/>
  <c r="AA194" i="3"/>
  <c r="AA191" i="3"/>
  <c r="AA188" i="3"/>
  <c r="L185" i="3"/>
  <c r="AA97" i="3"/>
  <c r="AA93" i="3"/>
  <c r="AA90" i="3"/>
  <c r="AA86" i="3"/>
  <c r="L82" i="3"/>
  <c r="L79" i="3"/>
  <c r="AA75" i="3"/>
  <c r="AA70" i="3"/>
  <c r="AA65" i="3"/>
  <c r="AA61" i="3"/>
  <c r="L57" i="3"/>
  <c r="AA53" i="3"/>
  <c r="L49" i="3"/>
  <c r="AA45" i="3"/>
  <c r="AA41" i="3"/>
  <c r="AA37" i="3"/>
  <c r="AA33" i="3"/>
  <c r="L2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<sst xmlns="http://schemas.openxmlformats.org/spreadsheetml/2006/main" count="8303" uniqueCount="1402">
  <si>
    <t>DESCRIPCION_OBRA</t>
  </si>
  <si>
    <t>OBRA_PRONTO</t>
  </si>
  <si>
    <t>COMPENSABLE</t>
  </si>
  <si>
    <t>GERENCIA</t>
  </si>
  <si>
    <t>aux</t>
  </si>
  <si>
    <t>Obra</t>
  </si>
  <si>
    <t>Descripcion obra</t>
  </si>
  <si>
    <t>Gerente de obra</t>
  </si>
  <si>
    <t>AUX</t>
  </si>
  <si>
    <t>VERIF</t>
  </si>
  <si>
    <t>GERENTE EN MAYUSCULA</t>
  </si>
  <si>
    <t>Descripcion</t>
  </si>
  <si>
    <t>Numero</t>
  </si>
  <si>
    <t>Unidad operativa</t>
  </si>
  <si>
    <t>VER</t>
  </si>
  <si>
    <t>ECHEVERRIA VEREDAS ESCUELAS</t>
  </si>
  <si>
    <t>00000001</t>
  </si>
  <si>
    <t>SI</t>
  </si>
  <si>
    <t>Ortiz Juan Manuel</t>
  </si>
  <si>
    <t>ORTIZ JUAN MANUEL</t>
  </si>
  <si>
    <t>VIALIDAD RUTA 39 SANTA FE</t>
  </si>
  <si>
    <t>00000002</t>
  </si>
  <si>
    <t>ADIF LIC 09 SEÑALAMIENTO</t>
  </si>
  <si>
    <t>00000003</t>
  </si>
  <si>
    <t>Trujillo</t>
  </si>
  <si>
    <t>TRUJILLO</t>
  </si>
  <si>
    <t>TALLER NUEVO</t>
  </si>
  <si>
    <t>00000004</t>
  </si>
  <si>
    <t>COMPENSABLE TALLER</t>
  </si>
  <si>
    <t>Diego Ibañez</t>
  </si>
  <si>
    <t>DIEGO IBAÑEZ</t>
  </si>
  <si>
    <t>PLANTAS CAÑUELAS</t>
  </si>
  <si>
    <t>00000005</t>
  </si>
  <si>
    <t>COMPENSABLE BRIC</t>
  </si>
  <si>
    <t>Calderon Juan Ignacio</t>
  </si>
  <si>
    <t>CALDERON JUAN IGNACIO</t>
  </si>
  <si>
    <t>DPA TRIBUNAL DE CASACION PENAL LA PLATA</t>
  </si>
  <si>
    <t>00000006</t>
  </si>
  <si>
    <t>VIALIDAD NACION MALLA CORDOBA</t>
  </si>
  <si>
    <t>00000007</t>
  </si>
  <si>
    <t>ECHEVERRIA LIC 13-2017</t>
  </si>
  <si>
    <t>00000008</t>
  </si>
  <si>
    <t>VIALIDAD REPAVIMENTACION RUTA 51</t>
  </si>
  <si>
    <t>00000009</t>
  </si>
  <si>
    <t>FERIA EN VILLA 31</t>
  </si>
  <si>
    <t>00000010</t>
  </si>
  <si>
    <t>ECHEVERRIA LIC 55 - 56 - 57 - 2017</t>
  </si>
  <si>
    <t>00000011</t>
  </si>
  <si>
    <t>ECHEVERRIA LIC 04</t>
  </si>
  <si>
    <t>00000012</t>
  </si>
  <si>
    <t>ADIF LIC 11 BARRERAS AUTOMATICAS GOWLAN</t>
  </si>
  <si>
    <t>00000013</t>
  </si>
  <si>
    <t>Sanchez Oscar</t>
  </si>
  <si>
    <t>SANCHEZ OSCAR</t>
  </si>
  <si>
    <t>ADIF LIC 31 BARRERAS AUTOMATICAS SUIPACHA</t>
  </si>
  <si>
    <t>00000014</t>
  </si>
  <si>
    <t>ALMIRANTE BROWN LIC 62 REPAVIMENTACION</t>
  </si>
  <si>
    <t>00000015</t>
  </si>
  <si>
    <t>ADIF LIC 35 MEJORAMIENTO DE VIAS</t>
  </si>
  <si>
    <t>00000016</t>
  </si>
  <si>
    <t>VIALIDAD BACHEO QUILMES-FLORENCIO VARELA</t>
  </si>
  <si>
    <t>00000017</t>
  </si>
  <si>
    <t>EJES PRINCIPALES VILLA 20</t>
  </si>
  <si>
    <t>00000018</t>
  </si>
  <si>
    <t>ADMINISTRACION</t>
  </si>
  <si>
    <t>SIN OBRA ASIGNADA</t>
  </si>
  <si>
    <t>00000019</t>
  </si>
  <si>
    <t>ADIF LIC 28 SEÑALAMIENTO MERLO - LOBOS</t>
  </si>
  <si>
    <t>METZLER JAVIER</t>
  </si>
  <si>
    <t>Metzler Javier</t>
  </si>
  <si>
    <t>00000020</t>
  </si>
  <si>
    <t>PROCREAR OPEN DOOR ELECTRICO</t>
  </si>
  <si>
    <t>00000021</t>
  </si>
  <si>
    <t>ALMIRANTE BROWN CAMINOS RURALES JAPON VALLEJOS LIC 16-2017</t>
  </si>
  <si>
    <t>00000022</t>
  </si>
  <si>
    <t>ALMIRANTE BROWN CAMINOS RURALES MODULO IV LIC 25-2017</t>
  </si>
  <si>
    <t>00000023</t>
  </si>
  <si>
    <t>DPA HOSPITAL SIMPLEMENTE EVITA</t>
  </si>
  <si>
    <t>FRANCISCO DI LISIO</t>
  </si>
  <si>
    <t>Francisco Di Lisio</t>
  </si>
  <si>
    <t>00000025</t>
  </si>
  <si>
    <t>GERENCIA JUAN MANUEL ORTIZ</t>
  </si>
  <si>
    <t>GERENCIA MARCOS VIYERIO</t>
  </si>
  <si>
    <t>00000024</t>
  </si>
  <si>
    <t>00000026</t>
  </si>
  <si>
    <t>GERENCIA TRUJILLO</t>
  </si>
  <si>
    <t>00000027</t>
  </si>
  <si>
    <t>GERENCIA MARIANO CAVALLARO</t>
  </si>
  <si>
    <t>00000028</t>
  </si>
  <si>
    <t>PROBA SA POSE SA UT LOTE E</t>
  </si>
  <si>
    <t>00000029</t>
  </si>
  <si>
    <t>ALIVIADOR CALLE ESMERALDA</t>
  </si>
  <si>
    <t>00000030</t>
  </si>
  <si>
    <t>ADIF LIC 69 BELGRANO SUR</t>
  </si>
  <si>
    <t>00000031</t>
  </si>
  <si>
    <t>REMODELACION DEL BIOTERIO</t>
  </si>
  <si>
    <t>00000032</t>
  </si>
  <si>
    <t>ERYMA</t>
  </si>
  <si>
    <t>00000033</t>
  </si>
  <si>
    <t>DPA HOSPITAL ZONAL GRAL DE AGUDOS VIRGEN DEL CARMEN</t>
  </si>
  <si>
    <t>00000034</t>
  </si>
  <si>
    <t>ARROYO PERGAMINO</t>
  </si>
  <si>
    <t>00000035</t>
  </si>
  <si>
    <t>RUTA 10 GALVEZ SANTA FE</t>
  </si>
  <si>
    <t>00000036</t>
  </si>
  <si>
    <t>RUTA 1 ALEJANDRA CAYASTA SANTA FE</t>
  </si>
  <si>
    <t>00000037</t>
  </si>
  <si>
    <t>EDESUR NUEVOS SUMINISTROS III Y IV</t>
  </si>
  <si>
    <t>00000038</t>
  </si>
  <si>
    <t>ALMIRANTE BROWN LIC 51 BARRIO LINDO</t>
  </si>
  <si>
    <t>00000039</t>
  </si>
  <si>
    <t>EDESUR NUEVOS SUMINISTROS IV</t>
  </si>
  <si>
    <t>00000040</t>
  </si>
  <si>
    <t>ECHEVERRIA ALIVIADOR CALLE COLON</t>
  </si>
  <si>
    <t>00000041</t>
  </si>
  <si>
    <t>ELEVACION DE ANDENES DE LA LINEA BELGRANO NORTE(LBN)  ADIF LIC 08 RENGLON IV</t>
  </si>
  <si>
    <t>00000042</t>
  </si>
  <si>
    <t>ELEVACION DE ANDENES DE LA LINEA BELGRANO NORTE(LBN)  ADIF LIC 08 RENGLON V</t>
  </si>
  <si>
    <t>00000043</t>
  </si>
  <si>
    <t>SEÑALAMIENTO ADIF 69 - OBRA DE INFRAESTRUCTURA FERROVIARIA EN ZONA ESTACIÓN BUENOS AIRES Y SOLDATI</t>
  </si>
  <si>
    <t>00000045</t>
  </si>
  <si>
    <t>ALIVIADOR OTAMENDI QUILMES</t>
  </si>
  <si>
    <t>00000046</t>
  </si>
  <si>
    <t>BRIC SA</t>
  </si>
  <si>
    <t>RED FINA VILLA 31</t>
  </si>
  <si>
    <t>00000044</t>
  </si>
  <si>
    <t>00000047</t>
  </si>
  <si>
    <t>HOSPITAL INTERZONAL GENERAL DE AGUDOS ABRAHAM PIÑEYRO - CENTRAL DE ABASTECIMIENTO Y PROCESAMIENTO</t>
  </si>
  <si>
    <t>00000049</t>
  </si>
  <si>
    <t>VILLA 21-24 NUEVO SOLO POSE</t>
  </si>
  <si>
    <t>00000050</t>
  </si>
  <si>
    <t>TRIBUNALES LOMAS DE ZAMORA</t>
  </si>
  <si>
    <t>BARONE ALBERTO</t>
  </si>
  <si>
    <t>00000051</t>
  </si>
  <si>
    <t>GERENCIA ARMIENTO</t>
  </si>
  <si>
    <t>HOSPITAL MUNICIPAL SANTAMARINA</t>
  </si>
  <si>
    <t>00000048</t>
  </si>
  <si>
    <t>00000054</t>
  </si>
  <si>
    <t>RECLAMADO Y CARPETA ASFALTICA EN CALLES DEL PARTIDO DE MORENO</t>
  </si>
  <si>
    <t>00000055</t>
  </si>
  <si>
    <t>REHABILITACION Y MANTENIMIENTO VIAL CONURBANO</t>
  </si>
  <si>
    <t>Barone Alberto</t>
  </si>
  <si>
    <t>00000056</t>
  </si>
  <si>
    <t>SEÑALAMIENTO - BELGRANO NORTE ADIF LIC 08</t>
  </si>
  <si>
    <t>00000057</t>
  </si>
  <si>
    <t>RUTA 1 MUNDO-COEMYC-POSE UTE</t>
  </si>
  <si>
    <t>ECHEVERRIA VEREDAS SECTOR NOR OESTE</t>
  </si>
  <si>
    <t>00000052</t>
  </si>
  <si>
    <t>00000058</t>
  </si>
  <si>
    <t>SOFSE - 3ER RIEL VILLA LURO</t>
  </si>
  <si>
    <t>INFRAESTRUCTURA B 31</t>
  </si>
  <si>
    <t>00000053</t>
  </si>
  <si>
    <t>00000060</t>
  </si>
  <si>
    <t>DGC MANTENIMIENTO DE ESCUELAS</t>
  </si>
  <si>
    <t>00000061</t>
  </si>
  <si>
    <t>ECHEVERRIA ESCUELAS LIC 12-2018</t>
  </si>
  <si>
    <t>00000063</t>
  </si>
  <si>
    <t>A REASIGNAR Y G.S.</t>
  </si>
  <si>
    <t>00000064</t>
  </si>
  <si>
    <t>BELGRANO CARGAS MEJORAMIENTO DE VIAS SECTORES VARIOS -LINEA SAN MARTIN R 1,2 Y 3 LIC 03</t>
  </si>
  <si>
    <t>00000065</t>
  </si>
  <si>
    <t>EDESUR 6+6</t>
  </si>
  <si>
    <t>00000066</t>
  </si>
  <si>
    <t>Adquisicion e instalacion de circuitos de audiofrecuencia - Linea Samiento - UTE POSE-TREND</t>
  </si>
  <si>
    <t>PREVIAL</t>
  </si>
  <si>
    <t>00000059</t>
  </si>
  <si>
    <t>00000067</t>
  </si>
  <si>
    <t>PAVIMENTACION DE CALLES DE TIERRA CON CONCRETO ASFALTICO EN CALIENTE LIC: 43/2018.</t>
  </si>
  <si>
    <t>00000068</t>
  </si>
  <si>
    <t>AMBA -C.I.C. MARIA EVA- QUILMES- GRUPO 1.15</t>
  </si>
  <si>
    <t>00000062</t>
  </si>
  <si>
    <t>CANTERA AZUL</t>
  </si>
  <si>
    <t>00000069</t>
  </si>
  <si>
    <t>CONSTRUCCION DE LA COMISARIA COMUNAL N°10, SITA EN RAFAELA N°4751, CABA</t>
  </si>
  <si>
    <t>00000070</t>
  </si>
  <si>
    <t>CONSTRUCCION DE COMISARIA COMUNAL 4, SITA EN CALLE ZAVALETA 425, CABA</t>
  </si>
  <si>
    <t>00000072</t>
  </si>
  <si>
    <t>PRESIDENTE PERÓN K99</t>
  </si>
  <si>
    <t>DIEGO AGUIRRE</t>
  </si>
  <si>
    <t>00000073</t>
  </si>
  <si>
    <t>BACHEOS EN RUTAS PROVINCIALES- ZONA IV- SAN JAVIER</t>
  </si>
  <si>
    <t>00000074</t>
  </si>
  <si>
    <t>CAPS GRUPO 2.6 TRES DE FEBRERO (LP 107/18)</t>
  </si>
  <si>
    <t>00000075</t>
  </si>
  <si>
    <t>CAPS 2.4 EZEIZA/AMBA (LP 113/18)</t>
  </si>
  <si>
    <t>00000076</t>
  </si>
  <si>
    <t>CAPS 3.3 MARCOS PAZ (108/18)</t>
  </si>
  <si>
    <t>00000077</t>
  </si>
  <si>
    <t>INTERVENCION URBANA Y PUESTA EN VALOR PLAZA VILLA PORA - LANUS</t>
  </si>
  <si>
    <t>00000078</t>
  </si>
  <si>
    <t>REMODELACION Y PUESTA EN VALOR 5 CAPS- GBRUPO 3.2- BRANDSEN/AMBA</t>
  </si>
  <si>
    <t>Diego Aguirre</t>
  </si>
  <si>
    <t>00000079</t>
  </si>
  <si>
    <t>Sistema de señalamiento y control de trenes (UTE Alstom Transporte SA- Pose SA)</t>
  </si>
  <si>
    <t>HOSPITAL  LUCIO MELENDEZ</t>
  </si>
  <si>
    <t>00000071</t>
  </si>
  <si>
    <t>00000080</t>
  </si>
  <si>
    <t>LICITACION PUBLICA 8/2018 BACHEO, REPAVIMENTACION Y SEÑALIZACION DE LA RUTA 2</t>
  </si>
  <si>
    <t>00000081</t>
  </si>
  <si>
    <t>VIALIDAD REPAVIMENTACION RUTAS ZONA 6 LANUS Y LOMAS DE ZAMORA</t>
  </si>
  <si>
    <t>00000082</t>
  </si>
  <si>
    <t>VIALIDAD REPAVIMENTACION RUTAS ZONA 9 TRES DE FEBRERO</t>
  </si>
  <si>
    <t>00000083</t>
  </si>
  <si>
    <t>VIALIDAD REPAVIMENTACION RUTAS ZONA 10 MORON</t>
  </si>
  <si>
    <t>00000084</t>
  </si>
  <si>
    <t>RECUPERACIÓN NAVE LATERAL BASÍLICA SAN PONCIANO LA PLATA</t>
  </si>
  <si>
    <t>00000085</t>
  </si>
  <si>
    <t>VAP 3 - REHABILITACION Y MANTENIMIENTO VIAL EN LA REGION METROPOLITANA DE BUENOS AIRES</t>
  </si>
  <si>
    <t>00000086</t>
  </si>
  <si>
    <t>LIC. 20/2019 ESCUELA MONTEGRANDE OC N 2430</t>
  </si>
  <si>
    <t>00000087</t>
  </si>
  <si>
    <t>LIC. 21/2019 ESCUELA MONTEGRANDE HORMIGON</t>
  </si>
  <si>
    <t>00000088</t>
  </si>
  <si>
    <t>LICITACION PUBLICA N° 05/2018 " REPAVIMENTACION DE CALLES MURILLO Y MOCTEZUMA"</t>
  </si>
  <si>
    <t>00000089</t>
  </si>
  <si>
    <t>REPAVIMENTACION DE LA RED VIAL DE ACCESO A ESTACIONES DE FFCC - ETAPA II</t>
  </si>
  <si>
    <t>00000090</t>
  </si>
  <si>
    <t>PLAN DE RECUPERACION VIAL DE LA CIUDAD (PREVIAL) ETAPA V LOTE 6</t>
  </si>
  <si>
    <t>00000091</t>
  </si>
  <si>
    <t>VIADUCTO LBS SAENZ -  TILCARA</t>
  </si>
  <si>
    <t>00000092</t>
  </si>
  <si>
    <t>CENTRO DE DISTRIBUCION PERON</t>
  </si>
  <si>
    <t>00000093</t>
  </si>
  <si>
    <t>PAVIMENTACIÓN DE CALLES ECHEVERRIA LIC 37/19 ZONA NORTE</t>
  </si>
  <si>
    <t>00000094</t>
  </si>
  <si>
    <t>SYGSA</t>
  </si>
  <si>
    <t>FANJUL NICOLÁS</t>
  </si>
  <si>
    <t>00000095</t>
  </si>
  <si>
    <t>LIC 55/19 PAVIMENTACIÓN DE CALLES ECHEVERRIA ZONA 9 DE ABRIL</t>
  </si>
  <si>
    <t>00000096</t>
  </si>
  <si>
    <t>CONSTRUCCIÓN CAPS 13 DE JULIO -GRUPO 2.17 - ALMIRANTE BROWN / AMBA</t>
  </si>
  <si>
    <t>00000097</t>
  </si>
  <si>
    <t>REMODELACION Y PUESTA EN VALOR 4 CAPS GRUPO 4.22   HURLINGHAM/AMBA</t>
  </si>
  <si>
    <t>00000101</t>
  </si>
  <si>
    <t>EDIFICIO DIAG 79 Y 61</t>
  </si>
  <si>
    <t>00000102</t>
  </si>
  <si>
    <t>CONSTRUYA AL COSTO</t>
  </si>
  <si>
    <t>00000103</t>
  </si>
  <si>
    <t>SAN VICENTE JARDIN LIC 3/2020</t>
  </si>
  <si>
    <t>COMPENSABLE CAC</t>
  </si>
  <si>
    <t>Fanjul Nicolás</t>
  </si>
  <si>
    <t>00000104</t>
  </si>
  <si>
    <t>CONSTRUCCION DE PLATEA PARA AULAS EN EL CLUB ESTRELLA DEL SUR</t>
  </si>
  <si>
    <t>CATRIEL GISELA</t>
  </si>
  <si>
    <t>00000105</t>
  </si>
  <si>
    <t>REACONDICIONAMIENTO DE SANITARIOS EN LA PARROQUIA SAN ANTONIO DE PADUA</t>
  </si>
  <si>
    <t>COMPENSABLE SYGSA</t>
  </si>
  <si>
    <t>00000106</t>
  </si>
  <si>
    <t>REACONDICIONAMIENTO PLAYON DEPORTIVO EN VILLA COLL - ALEJANDRO KORN</t>
  </si>
  <si>
    <t>00000107</t>
  </si>
  <si>
    <t>PLATEA Y NUCLEO SANITARIO BARRIO SAN JOSÉ- ALEJANDRO KORN</t>
  </si>
  <si>
    <t>00000098</t>
  </si>
  <si>
    <t>PAVIMENTACION CALLE CNEL SUAREZ - BRANDSEN</t>
  </si>
  <si>
    <t>00000108</t>
  </si>
  <si>
    <t>PLANTA DE HORMIGON PERON</t>
  </si>
  <si>
    <t>00000099</t>
  </si>
  <si>
    <t>PAVIMENTACION CALLE 12 - BRANDSEN</t>
  </si>
  <si>
    <t>00000109</t>
  </si>
  <si>
    <t>ABERTURAS PERON</t>
  </si>
  <si>
    <t>00000100</t>
  </si>
  <si>
    <t>PAVIMENTACION CALLE 9 - BRANDSEN</t>
  </si>
  <si>
    <t>00000110</t>
  </si>
  <si>
    <t>CARPINTERIA PERON</t>
  </si>
  <si>
    <t>00000111</t>
  </si>
  <si>
    <t>HERRERIA PERON</t>
  </si>
  <si>
    <t>00000112</t>
  </si>
  <si>
    <t>CONSOLIDADO DE CALLES ALEJANDRO KORN</t>
  </si>
  <si>
    <t>DESARROLLOS</t>
  </si>
  <si>
    <t>00000113</t>
  </si>
  <si>
    <t>BACHEO ESTEBAN ETCHEVERRÍA  LIC24/2020</t>
  </si>
  <si>
    <t>ACTIVOS</t>
  </si>
  <si>
    <t>Catriel Gisela</t>
  </si>
  <si>
    <t>00000116</t>
  </si>
  <si>
    <t>CONSTRUCCION DE DARSENA DE OMNIBUS  Y O.C. ESTACIÓN TRENES A.KORN LP 1/2020</t>
  </si>
  <si>
    <t>00000117</t>
  </si>
  <si>
    <t>LIC PRIVADA 15/2020 PROVISIÓN DE ELEMENTOS- MUNICIPALIDAD SAN VICENTE</t>
  </si>
  <si>
    <t>00000118</t>
  </si>
  <si>
    <t>LIC PRIVADA 16/2020 PROVISION DE ELEMENTOS- MUNICIPALIDAD DE SAN VICENTE</t>
  </si>
  <si>
    <t>00000119</t>
  </si>
  <si>
    <t>PAVIMENTACION ACCESO A BARRIOS Y OBRAS DE DESAGÜES COMPLETENTARIOS- BROWN</t>
  </si>
  <si>
    <t>00000120</t>
  </si>
  <si>
    <t>PAVIMENTACION DE CALLES URBANAS EN EL PARTIDO DE SAN VICENTE</t>
  </si>
  <si>
    <t>00000121</t>
  </si>
  <si>
    <t>RECONSTRUCCION RP Nº 90 - Alcorta</t>
  </si>
  <si>
    <t>CAC</t>
  </si>
  <si>
    <t>00000122</t>
  </si>
  <si>
    <t>Encarpetado en Concreto Asfáltico IT-004/2020</t>
  </si>
  <si>
    <t>COMPENSABLE WORK PROJECTS</t>
  </si>
  <si>
    <t>00000123</t>
  </si>
  <si>
    <t>Bacheo en Hormigón Simple IT-003/2020</t>
  </si>
  <si>
    <t>00000125</t>
  </si>
  <si>
    <t>DESAGÜES PLUVIALES A CIELO ABIERTO EN CALLES DE LA LOCALIDAD DE ALEJANDRO KORN</t>
  </si>
  <si>
    <t>00000126</t>
  </si>
  <si>
    <t>EDIFICIO 5 Y 42</t>
  </si>
  <si>
    <t>00000114</t>
  </si>
  <si>
    <t>REFACCIONES EN EL HTAL. RAMÓN CARRILLO- SAN VICENTE</t>
  </si>
  <si>
    <t>00000127</t>
  </si>
  <si>
    <t>ADIF 8 VIAS MUNRO</t>
  </si>
  <si>
    <t>00000115</t>
  </si>
  <si>
    <t>PROVISIÓN DE ELEMENTOS EN CENTRO DE AISLAMIENTO COVID -19 - CLUB CULTURAL</t>
  </si>
  <si>
    <t>00000129</t>
  </si>
  <si>
    <t>LP18/2020 Reconstrucción de calzada y cordón cuneta en la calle Adolfo Korn</t>
  </si>
  <si>
    <t>00000130</t>
  </si>
  <si>
    <t>LP 19/20, Adecuación de vías, Marcos Paz Lobos - SOFSE</t>
  </si>
  <si>
    <t>00000131</t>
  </si>
  <si>
    <t>LP10/2020 Consolidado  de calles con cordón cuneta en el partido de San Vicente</t>
  </si>
  <si>
    <t>00000132</t>
  </si>
  <si>
    <t>LP11/2020 Consolidado de calles con cordón cuneta en la localidad de A. Korn, partido de San Vicent</t>
  </si>
  <si>
    <t>00000133</t>
  </si>
  <si>
    <t>UTE RED CLOACAL FIORITO- TECMA POSE UTE</t>
  </si>
  <si>
    <t>00000134</t>
  </si>
  <si>
    <t>CONSTRUCCION CAP N°9 BILLINGHURST GRAL SAN MARTIN - AMBA</t>
  </si>
  <si>
    <t>00000135</t>
  </si>
  <si>
    <t>VENTA CONTENEDORES DE OFICINA</t>
  </si>
  <si>
    <t>00000136</t>
  </si>
  <si>
    <t>BACHEO RUTA PCIAL 26-92-15 Y 93</t>
  </si>
  <si>
    <t>00000137</t>
  </si>
  <si>
    <t>LP 25/2020- PROVISIÓN E INSTALACIÓN DE EQUIPOS DE TECNOLOGÍA LED</t>
  </si>
  <si>
    <t>00000124</t>
  </si>
  <si>
    <t>BRAZO P/ARTEFACTOS DE ILUMINACION</t>
  </si>
  <si>
    <t>00000138</t>
  </si>
  <si>
    <t>CONSTRUCCIÓN Y MOBILIARIO JARDÍN "LOS TRONQUITOS" FLORENCIO VARELA</t>
  </si>
  <si>
    <t>00000139</t>
  </si>
  <si>
    <t>CONSTRUCCION Y EQUIPAMIENTO MOBILIARIO JARDIN ALEJANDRO KORN SAN VICENTE</t>
  </si>
  <si>
    <t>00000141</t>
  </si>
  <si>
    <t>LIC 28/2020 PAVIMENTACIÓN EN CONCRETO ASFÁLTICO EN EL PARTIDO DE ALMIRANTE BROWN</t>
  </si>
  <si>
    <t>00000142</t>
  </si>
  <si>
    <t>LIC 26/2020 PAVIMENTACIÓN EN HORMIGÓN SIMPLE EN  CLAYPOLE, GLEW  Y  MINISTRO  RIVADAVIA</t>
  </si>
  <si>
    <t>00000128</t>
  </si>
  <si>
    <t>MUNICIPALIDAD DE SAN VICENTE- OC 530- COMPRA DIRECTA</t>
  </si>
  <si>
    <t>00000143</t>
  </si>
  <si>
    <t>LP01/21- Repavimentacion de calzada en R.P. Nº 31-Tr.: RPN°191 (Salto) - RNN°188 (Rojas)</t>
  </si>
  <si>
    <t>00000144</t>
  </si>
  <si>
    <t>EJECUCIÓN DE ESTABILIZADO GRANULAR Y ZANJEO EN CALLES URBANAS DEL PARTIDO DE SAN VICENTE</t>
  </si>
  <si>
    <t>00000145</t>
  </si>
  <si>
    <t>LPU 25/2020 PASO PEATONAL EN EL ALTO NIVEL S/LEY 24.314 EN ESTACIÓN TEMPERLEY  FF.CC. ROCA</t>
  </si>
  <si>
    <t>00000146</t>
  </si>
  <si>
    <t>UTE POSE-TECMA PROCREAR PALOMAR</t>
  </si>
  <si>
    <t>00000147</t>
  </si>
  <si>
    <t>LP 13/2021</t>
  </si>
  <si>
    <t>00000148</t>
  </si>
  <si>
    <t>RUTA 58</t>
  </si>
  <si>
    <t>00000149</t>
  </si>
  <si>
    <t>CONSTRUCCIÓN Y REHABILITACIÓN DE CORREDORES URBANOS EN EL ÁREA METROPOLITANA DE BUENOS AIRES</t>
  </si>
  <si>
    <t>00000150</t>
  </si>
  <si>
    <t>SC70125 Cloaca primaria y secundaria Fiorito</t>
  </si>
  <si>
    <t>00000151</t>
  </si>
  <si>
    <t>POSE SA- MECALL SA- UTE</t>
  </si>
  <si>
    <t>00000152</t>
  </si>
  <si>
    <t>RP Nº21, PARTIDO DE LA MATANZA</t>
  </si>
  <si>
    <t>00000153</t>
  </si>
  <si>
    <t>LP02/20: Repavimentación Ruta Provincial N° 50. Tramo: Ferré - RNNº 8</t>
  </si>
  <si>
    <t>00000154</t>
  </si>
  <si>
    <t>CAÑUELAS PLAZAS</t>
  </si>
  <si>
    <t>00000140</t>
  </si>
  <si>
    <t>LIC 05/2021 PROVISIÓN DE ELEMENTOS</t>
  </si>
  <si>
    <t>00000155</t>
  </si>
  <si>
    <t>LP 60 CALLE BELGRANO  BROWN</t>
  </si>
  <si>
    <t>00000156</t>
  </si>
  <si>
    <t>CONSOLIDADOS DE CALLES CON ESTABILIZADO GRANULAR Y ZANJEO EN SAN VICENTE</t>
  </si>
  <si>
    <t>00000157</t>
  </si>
  <si>
    <t>PAVIMENTACIÓN EN HORMIGÓN -  JUAN MANUEL DE ROSAS</t>
  </si>
  <si>
    <t>00000158</t>
  </si>
  <si>
    <t>LP 78/2021 PROVISIÓN DE EQUIPOS DE ILUMINACIÓN LED Y BRAZOS PESCANTES EN EL PARTIDO DE ALTE BROWN</t>
  </si>
  <si>
    <t>00000159</t>
  </si>
  <si>
    <t>LP 67/2021 MÓDULO I- PROVISIÓN Y COLOCACIÓN DE ILUMINARIAS LED</t>
  </si>
  <si>
    <t>00000160</t>
  </si>
  <si>
    <t>LP 72/2021 COLOCACIÓN DE ILUMINARIAS LED - MÓDULO I</t>
  </si>
  <si>
    <t>GONZALO SILVA</t>
  </si>
  <si>
    <t>00000161</t>
  </si>
  <si>
    <t>LP 73/2021 COLOCACIÓN DE ILUMINARIAS LED - MÓDULO II</t>
  </si>
  <si>
    <t>00000162</t>
  </si>
  <si>
    <t>LP 58/2021 CALLE PARA LA INTEGRACIÓN DE LA COMUNIDAD-PAVIMENTACIÓN CALLE ALGARROBO</t>
  </si>
  <si>
    <t>00000163</t>
  </si>
  <si>
    <t>LP Nº69/2021 PAVIMENTACIÓN DE CALLES GENERAL MITRE Y BOLÍVAR</t>
  </si>
  <si>
    <t>00000164</t>
  </si>
  <si>
    <t>CONSTRUCCION DE VIVIENDAS PREDIO BARADERO SECTOR 1 Y 2. BARADERO- PCIA DE BUENOS AIRES</t>
  </si>
  <si>
    <t>00000165</t>
  </si>
  <si>
    <t>NUEVAS OFICINAS</t>
  </si>
  <si>
    <t>00000166</t>
  </si>
  <si>
    <t>ARROYO BUSTILLO MERLO</t>
  </si>
  <si>
    <t>00000167</t>
  </si>
  <si>
    <t>LP N°7/2021 PAVIMENTO ASFÁLTICO ROJAS</t>
  </si>
  <si>
    <t>00000168</t>
  </si>
  <si>
    <t>LP11/21-NUEVA ESTACION IINTERMEDIA EN QUILMES- GRAL. ROCA - ADIF - POSE INDUVIA UTE</t>
  </si>
  <si>
    <t>00000169</t>
  </si>
  <si>
    <t>LP 08/2021 OBRA: PAVIMENTO ASFALTICO EN BARRIO SANTA TERESA DE LA CIUDAD DE ROJAS.-</t>
  </si>
  <si>
    <t>00000170</t>
  </si>
  <si>
    <t>ALCALDÍA LOMAS- POSE - CONINSA, ALCAIDIA UT.</t>
  </si>
  <si>
    <t>00000172</t>
  </si>
  <si>
    <t>LP 34/21 - RED SECUNDARIA CLOACAL- LANUS</t>
  </si>
  <si>
    <t>00000173</t>
  </si>
  <si>
    <t>LP 68/2021 Repavimentación Ruta Provincial Nº 31, tramo: R.N. Nº 188 - R.N. Nº 8</t>
  </si>
  <si>
    <t>00000174</t>
  </si>
  <si>
    <t>LP 30/21 - ADECUACIÓN TRES SUBESTACIONES TRANSFORMADORAS- LINEA SARMIENTO</t>
  </si>
  <si>
    <t>00000175</t>
  </si>
  <si>
    <t>LP 43/2021 ESTABILIZADO GRANULAR Y ZANJEO SAN VICENTE LOTE 2</t>
  </si>
  <si>
    <t>Gonzalo Silva</t>
  </si>
  <si>
    <t>00000176</t>
  </si>
  <si>
    <t>PARADAS SEGURAS</t>
  </si>
  <si>
    <t>00000177</t>
  </si>
  <si>
    <t>BARRIO PRIVADO- SAN VICENTE</t>
  </si>
  <si>
    <t>00000178</t>
  </si>
  <si>
    <t>CASA DE PROVINCIA - MUNICIPALIDAD DE COLÓN</t>
  </si>
  <si>
    <t>00000179</t>
  </si>
  <si>
    <t>MAS 2</t>
  </si>
  <si>
    <t>00000180</t>
  </si>
  <si>
    <t>ADMINISTRACION DOLORES TERMAS</t>
  </si>
  <si>
    <t>00000181</t>
  </si>
  <si>
    <t>GERENCIA HERRERO</t>
  </si>
  <si>
    <t>00000182</t>
  </si>
  <si>
    <t>LP 09/21, SOFSE, ADECUACIÓN APEADEROS CHACO</t>
  </si>
  <si>
    <t>00000183</t>
  </si>
  <si>
    <t>PAVIMENTACIÓN BARRIO LA YAYA LP Nº 21/2021</t>
  </si>
  <si>
    <t>00000184</t>
  </si>
  <si>
    <t>PROVISION BRAZOS PESCANTES</t>
  </si>
  <si>
    <t>00000185</t>
  </si>
  <si>
    <t>LP 18/21 COMPRA DE MATERIALES PARA EL PROYECTO ASFALTO BITUMINOSO</t>
  </si>
  <si>
    <t>00000186</t>
  </si>
  <si>
    <t>PLANTA ASFALTO CAÑUELAS</t>
  </si>
  <si>
    <t>00000187</t>
  </si>
  <si>
    <t>DESAGÜES PLUVIALES - MUNICIPALIDAD DE LULES - TUCUMAN</t>
  </si>
  <si>
    <t>CARDENAS PABLO</t>
  </si>
  <si>
    <t>00000188</t>
  </si>
  <si>
    <t>CASA DE PROVINCIA LEANDRO N. ALEM</t>
  </si>
  <si>
    <t>00000189</t>
  </si>
  <si>
    <t>LP 55/2021-PROYECTO URBANO-720 LOTES- ETAPA 1</t>
  </si>
  <si>
    <t>00000190</t>
  </si>
  <si>
    <t>LP 55/2021-PROYECTO URBANO-720 LOTES- ETAPA 2</t>
  </si>
  <si>
    <t>00000191</t>
  </si>
  <si>
    <t>PROVISION TOSCA SAN VICENTE</t>
  </si>
  <si>
    <t>00000192</t>
  </si>
  <si>
    <t>GERENCIA BARONE</t>
  </si>
  <si>
    <t>00000193</t>
  </si>
  <si>
    <t>CASA DE PROVINCIA - NUEVE DE JULIO</t>
  </si>
  <si>
    <t>00000194</t>
  </si>
  <si>
    <t>EDIFICIO CALLE 33 E 13 Y 14</t>
  </si>
  <si>
    <t>00000195</t>
  </si>
  <si>
    <t>RUTA 52 CAMINO RURAL</t>
  </si>
  <si>
    <t>00000196</t>
  </si>
  <si>
    <t>CAPS SALADILLO LP 143/2021</t>
  </si>
  <si>
    <t>00000197</t>
  </si>
  <si>
    <t>LP 22/2021 COMPRA MATERIALES PARA PROYECTO PAVIMENTACION Y CARPETA ASFALTICA EN GUERNICA</t>
  </si>
  <si>
    <t>00000199</t>
  </si>
  <si>
    <t>CANTERA CERRO REDONDO</t>
  </si>
  <si>
    <t>00000200</t>
  </si>
  <si>
    <t>5.41.d74 SYGSA</t>
  </si>
  <si>
    <t>00000201</t>
  </si>
  <si>
    <t>12.37.38 SYGSA</t>
  </si>
  <si>
    <t>00000202</t>
  </si>
  <si>
    <t>15.38.39 SYGSA</t>
  </si>
  <si>
    <t>Cardenas Pablo</t>
  </si>
  <si>
    <t>00000203</t>
  </si>
  <si>
    <t>POSE SISTEMAS-CAC</t>
  </si>
  <si>
    <t>00000204</t>
  </si>
  <si>
    <t>EDIFICIO CALLE 39</t>
  </si>
  <si>
    <t>00000205</t>
  </si>
  <si>
    <t>CAPS ALTE BROWN LP O4/2022</t>
  </si>
  <si>
    <t>00000206</t>
  </si>
  <si>
    <t>PAVIMENTACION CALLE MANUELA PEDRAZA -GLEW LP 138/2021</t>
  </si>
  <si>
    <t>00000207</t>
  </si>
  <si>
    <t>LP 02/2022 PAVIMENTOS ALMIRANTE BROWN</t>
  </si>
  <si>
    <t>00000208</t>
  </si>
  <si>
    <t>LP 03/2022 PAVIMENTACION CALLES CASONA, CASTILLO Y ZUFRIATEGUI</t>
  </si>
  <si>
    <t>00000209</t>
  </si>
  <si>
    <t>LP N° 34 ESTABLECIMIENTOS EDUCATIVOS NORTE RENGLON 1</t>
  </si>
  <si>
    <t>00000210</t>
  </si>
  <si>
    <t>ADIF LP 34/2021 CONSTR. DE LA PLAYA FERROVIARIA LA RIBERA- ETAPA 2 - PCIA SANTA FE</t>
  </si>
  <si>
    <t>00000211</t>
  </si>
  <si>
    <t>LP 03/2022 RED DE VIAS SEGURAS CAÑUELAS</t>
  </si>
  <si>
    <t>00000212</t>
  </si>
  <si>
    <t>LOTEO EN DOMSELAAR PARTIDO DE SAN VICENTE</t>
  </si>
  <si>
    <t>00000213</t>
  </si>
  <si>
    <t>LP N° 34 ESTABLECIMIENTOS EDUCATIVOS SUR RENGLON 2</t>
  </si>
  <si>
    <t>00000214</t>
  </si>
  <si>
    <t>LOTEO DE FAMAILLA TUCUMAN</t>
  </si>
  <si>
    <t>00000215</t>
  </si>
  <si>
    <t>LP N° 12/2022 OBRAS DE INTEGRACION URBANA- ALTE BROWN</t>
  </si>
  <si>
    <t>PLAYA FERROVIARIA LA RIBERA - ETAPA 2</t>
  </si>
  <si>
    <t>00000198</t>
  </si>
  <si>
    <t>00000216</t>
  </si>
  <si>
    <t>COMBUSTIBLE</t>
  </si>
  <si>
    <t>00000217</t>
  </si>
  <si>
    <t>PAÑOL</t>
  </si>
  <si>
    <t>00000218</t>
  </si>
  <si>
    <t>TALLERES EXTERNOS</t>
  </si>
  <si>
    <t>00000219</t>
  </si>
  <si>
    <t>LP N°2/22 PLAZAS TUCUMAN</t>
  </si>
  <si>
    <t>00000220</t>
  </si>
  <si>
    <t>LP N°70/2022 PROVISION DE EQUIPOS LED- MALVINAS ARGENTINAS</t>
  </si>
  <si>
    <t>00000221</t>
  </si>
  <si>
    <t>DESTACAMENTOS ISLAS</t>
  </si>
  <si>
    <t>00000222</t>
  </si>
  <si>
    <t>LP N°12/22 BACHEO EN CASCO URBANO CAÑUELAS</t>
  </si>
  <si>
    <t>00000223</t>
  </si>
  <si>
    <t>AUTOPISTA EZEIZA CAÑUELAS- REPAVIMENTACION DE CALZADAS- PEAJE TRISTAN SUAREZ</t>
  </si>
  <si>
    <t>00000224</t>
  </si>
  <si>
    <t>SC70324- RED SECUNDARIA CLOACAL NUMANCIA IA- PTE PERON</t>
  </si>
  <si>
    <t>00000225</t>
  </si>
  <si>
    <t>PROCREAR TUCUMAN</t>
  </si>
  <si>
    <t>00000226</t>
  </si>
  <si>
    <t>33.13.14 SYGSA</t>
  </si>
  <si>
    <t>00000227</t>
  </si>
  <si>
    <t>CEPLA- CENTRO PREVENTIVO LOCAL DE ADICCIONES</t>
  </si>
  <si>
    <t>00000228</t>
  </si>
  <si>
    <t>VIVIENDAS PERON SECTOR D</t>
  </si>
  <si>
    <t>00000229</t>
  </si>
  <si>
    <t>RP N° 2 TRAMO CHASCOMUS DOLORES</t>
  </si>
  <si>
    <t>00000230</t>
  </si>
  <si>
    <t>FINALIZACION DE RED DE MEDIA TENSION PARA VIVIENDAS BARRIO ACUBA</t>
  </si>
  <si>
    <t>00000231</t>
  </si>
  <si>
    <t>POSE SA-CONINSA SA - UT ALCAIDIA GONZALEZ CATAN</t>
  </si>
  <si>
    <t>00000232</t>
  </si>
  <si>
    <t>PROCREAR INFRAESTRUCTURA LA PLATA</t>
  </si>
  <si>
    <t>00000233</t>
  </si>
  <si>
    <t>PROCREAR INFRAESTRUCTURA BARADERO</t>
  </si>
  <si>
    <t>00000234</t>
  </si>
  <si>
    <t>POSE SA - AMG SA UT PROCREAR INFRAESTRUCTURA BERAZATEGUI</t>
  </si>
  <si>
    <t>00000235</t>
  </si>
  <si>
    <t>OBRAS GONZALO SILVA</t>
  </si>
  <si>
    <t>00000236</t>
  </si>
  <si>
    <t>MAQUINISTAS</t>
  </si>
  <si>
    <t>00000237</t>
  </si>
  <si>
    <t>OPERADORES DE ASFALTO</t>
  </si>
  <si>
    <t>00000238</t>
  </si>
  <si>
    <t>TALLER CAC</t>
  </si>
  <si>
    <t>00000239</t>
  </si>
  <si>
    <t>OCALA</t>
  </si>
  <si>
    <t>00000240</t>
  </si>
  <si>
    <t>LOTEO 152.42 SYGSA</t>
  </si>
  <si>
    <t>00000241</t>
  </si>
  <si>
    <t>GERENCIA METZLER JAVIER</t>
  </si>
  <si>
    <t>00000242</t>
  </si>
  <si>
    <t>VENTA DE ACTIVOS DE CAC A POSE</t>
  </si>
  <si>
    <t>00000243</t>
  </si>
  <si>
    <t>RUTA 34 - CORREDORES VIALES</t>
  </si>
  <si>
    <t>00000244</t>
  </si>
  <si>
    <t>OBRAS GISELA</t>
  </si>
  <si>
    <t>00000245</t>
  </si>
  <si>
    <t>MAS 3</t>
  </si>
  <si>
    <t>00000246</t>
  </si>
  <si>
    <t>POSE SA-ROL INGENIERIA SA - UT ALCAIDIA TRES DE FEBRERO</t>
  </si>
  <si>
    <t>00000247</t>
  </si>
  <si>
    <t>RUTA PROV 23 RACAVAL POSE - UTE</t>
  </si>
  <si>
    <t>00000248</t>
  </si>
  <si>
    <t>INSPECCION TALLER</t>
  </si>
  <si>
    <t>00000249</t>
  </si>
  <si>
    <t>FLOTA LIVIANA</t>
  </si>
  <si>
    <t>00000250</t>
  </si>
  <si>
    <t>TALLERES Y REPARACIONES</t>
  </si>
  <si>
    <t>00000251</t>
  </si>
  <si>
    <t>MANTENIMIENTO TALLER</t>
  </si>
  <si>
    <t>00000252</t>
  </si>
  <si>
    <t>PROCREAR PILAR</t>
  </si>
  <si>
    <t>00000253</t>
  </si>
  <si>
    <t>PROCREAR CAÑUELAS</t>
  </si>
  <si>
    <t>00000254</t>
  </si>
  <si>
    <t>PROCREAR MALVINAS ARGENTINAS</t>
  </si>
  <si>
    <t>00000255</t>
  </si>
  <si>
    <t>DEPOSITO REPARACIONES</t>
  </si>
  <si>
    <t>00000256</t>
  </si>
  <si>
    <t>DEPOSITO MANTENIMIENTO</t>
  </si>
  <si>
    <t>00000257</t>
  </si>
  <si>
    <t>VINCULACION RP N°23 - CAMINO 074-02</t>
  </si>
  <si>
    <t>00000258</t>
  </si>
  <si>
    <t>TECMA SA POSE SA- PLANTA DEPURADORA SALADILLO</t>
  </si>
  <si>
    <t>00000259</t>
  </si>
  <si>
    <t>DESAGUE PLUVIALES COLECTOR ALBERDI</t>
  </si>
  <si>
    <t>00000260</t>
  </si>
  <si>
    <t>LOGISTICA TALLER</t>
  </si>
  <si>
    <t>00000261</t>
  </si>
  <si>
    <t>ECODYMA SA POSE SA UTE NAVARRO</t>
  </si>
  <si>
    <t>00000262</t>
  </si>
  <si>
    <t>PROCREAR INFRAESTRUCTURA LA PLATA-OBRA ELECTRICA</t>
  </si>
  <si>
    <t>00000263</t>
  </si>
  <si>
    <t>PROCREAR INFRAESTRUCTURA PILAR-OBRA ELECTRICA</t>
  </si>
  <si>
    <t>00000264</t>
  </si>
  <si>
    <t>PROCREAR INFRAESTRUCTURA CAÑUELAS-OBRA ELECTRICA</t>
  </si>
  <si>
    <t>00000265</t>
  </si>
  <si>
    <t>INFRAESTRUCTURA PROCREAR DERQUI-PILAR</t>
  </si>
  <si>
    <t>00000266</t>
  </si>
  <si>
    <t>DESAGUES PLUVIALES ZARATE</t>
  </si>
  <si>
    <t>00000267</t>
  </si>
  <si>
    <t>LP N°80 INSTALACION DE ILUMINACION LED - ETAPA II</t>
  </si>
  <si>
    <t>00000268</t>
  </si>
  <si>
    <t>CRIPTOLADRILLO</t>
  </si>
  <si>
    <t>00000269</t>
  </si>
  <si>
    <t>PAVIMENTACIÓN, CORDÓN CUNETA, AGUA Y CLOACA- SAN VICENTE LP N°54/2022</t>
  </si>
  <si>
    <t>00000270</t>
  </si>
  <si>
    <t>BACHEO LA PLATA</t>
  </si>
  <si>
    <t>00000271</t>
  </si>
  <si>
    <t>EDIFICIO 7.62.63 POSE</t>
  </si>
  <si>
    <t>00000272</t>
  </si>
  <si>
    <t>EDIFICIO CAMPANA SYGSA</t>
  </si>
  <si>
    <t>00000273</t>
  </si>
  <si>
    <t>GOBERNACION LA PLATA</t>
  </si>
  <si>
    <t>00000274</t>
  </si>
  <si>
    <t>LP N°11/2023 POLIDEPORTIVO RAFAEL CALZADA</t>
  </si>
  <si>
    <t>00000275</t>
  </si>
  <si>
    <t>SEDE OFICINA 9 DE JULIO</t>
  </si>
  <si>
    <t>00000276</t>
  </si>
  <si>
    <t>MAS 4</t>
  </si>
  <si>
    <t>00000277</t>
  </si>
  <si>
    <t>LP N°12/2023  POLIDEPORTIVO  MALVINAS ARGENTINAS</t>
  </si>
  <si>
    <t>00000278</t>
  </si>
  <si>
    <t>LP N°10/2023  AREA COMERCIAL MALVINAS ARGENTINAS</t>
  </si>
  <si>
    <t>00000279</t>
  </si>
  <si>
    <t>LP N°50/2023 ALUMBRADO LA PLATA</t>
  </si>
  <si>
    <t>00000280</t>
  </si>
  <si>
    <t>AMPLIACION DEL EDIFICIO EP N° 6 Y ES N° 12- PRESIDENTE PERON</t>
  </si>
  <si>
    <t>00000281</t>
  </si>
  <si>
    <t>CUBIERTAS Y TREN RODANTE</t>
  </si>
  <si>
    <t>00000282</t>
  </si>
  <si>
    <t>PAVIMENTACION CALLE MATHEU BARRIO BIOCCA - SAN VICENTE</t>
  </si>
  <si>
    <t>00000283</t>
  </si>
  <si>
    <t>BACHEO ECHEVARRIA</t>
  </si>
  <si>
    <t>00000284</t>
  </si>
  <si>
    <t>PAVIMENTACION Y VEREDAS TIERRAS ALTAS RACAVAL POSE - UTE</t>
  </si>
  <si>
    <t>00000285</t>
  </si>
  <si>
    <t>EDENOR OBRAS Y LICITACIONES</t>
  </si>
  <si>
    <t>00000286</t>
  </si>
  <si>
    <t>PROVISIÓN DE MÓDULOS DESPENSA UNOPS</t>
  </si>
  <si>
    <t>00000287</t>
  </si>
  <si>
    <t>PREVIAL VI</t>
  </si>
  <si>
    <t>00000288</t>
  </si>
  <si>
    <t>PAÑOL CAÑUELAS</t>
  </si>
  <si>
    <t>00000289</t>
  </si>
  <si>
    <t>ALFA GAMA HELPA POSE UTE</t>
  </si>
  <si>
    <t>00000290</t>
  </si>
  <si>
    <t>TRAMO 2- RP N°23 POSE RACAVAL UTE</t>
  </si>
  <si>
    <t>00000292</t>
  </si>
  <si>
    <t>RUTA 11 UTE POSE COARCO VIALAGRO</t>
  </si>
  <si>
    <t>00000293</t>
  </si>
  <si>
    <t>CONSTRUCCION POLO JUDICIAL MALVINAS ARGENTINAS</t>
  </si>
  <si>
    <t>COMPENSABLE GASTOS DE SEDE</t>
  </si>
  <si>
    <t>00000294</t>
  </si>
  <si>
    <t>EDENOR REGION 1</t>
  </si>
  <si>
    <t>00000295</t>
  </si>
  <si>
    <t>EDENOR REGION 3</t>
  </si>
  <si>
    <t>00000296</t>
  </si>
  <si>
    <t>TERRENO 520</t>
  </si>
  <si>
    <t>00000297</t>
  </si>
  <si>
    <t>DOLORES TERMAS</t>
  </si>
  <si>
    <t>00000299</t>
  </si>
  <si>
    <t>SEDE TECNOLOGÍA Y SISTEMAS</t>
  </si>
  <si>
    <t>00000300</t>
  </si>
  <si>
    <t>SEDE RECURSOS HUMANOS</t>
  </si>
  <si>
    <t>00000301</t>
  </si>
  <si>
    <t>SEDE TUCUMAN</t>
  </si>
  <si>
    <t>00000302</t>
  </si>
  <si>
    <t>SEDE</t>
  </si>
  <si>
    <t>00000303</t>
  </si>
  <si>
    <t>SEDE CAPITAL FEDERAL</t>
  </si>
  <si>
    <t>00000304</t>
  </si>
  <si>
    <t>SEDE COMPRAS</t>
  </si>
  <si>
    <t>00000305</t>
  </si>
  <si>
    <t>SEDE CONTABLE</t>
  </si>
  <si>
    <t>00000306</t>
  </si>
  <si>
    <t>SEDE LICITACIONES</t>
  </si>
  <si>
    <t>00000307</t>
  </si>
  <si>
    <t>SEDE TALENTO HUMANO</t>
  </si>
  <si>
    <t>00000308</t>
  </si>
  <si>
    <t>SEDE GRUPO POSE</t>
  </si>
  <si>
    <t>00000309</t>
  </si>
  <si>
    <t>SEDE CONTABLE AJUSTES</t>
  </si>
  <si>
    <t>00000310</t>
  </si>
  <si>
    <t>PROTOTIPOS LOTEO 152</t>
  </si>
  <si>
    <t>00000291</t>
  </si>
  <si>
    <t>00000311</t>
  </si>
  <si>
    <t>ACTIVOS PERON</t>
  </si>
  <si>
    <t>00000312</t>
  </si>
  <si>
    <t>ADIF LIC 07</t>
  </si>
  <si>
    <t>00000313</t>
  </si>
  <si>
    <t>ADIF LIC 25</t>
  </si>
  <si>
    <t>00000314</t>
  </si>
  <si>
    <t>ADIF LIC 51</t>
  </si>
  <si>
    <t>00000315</t>
  </si>
  <si>
    <t>ALQUILER DE EQUIPOS</t>
  </si>
  <si>
    <t>00000316</t>
  </si>
  <si>
    <t>ALMIRANTE BROWN</t>
  </si>
  <si>
    <t>00000317</t>
  </si>
  <si>
    <t>ARROYO EL GATO</t>
  </si>
  <si>
    <t>ELEVACION DE ANDENES Y MEJORA DE ESTACIONES LINEA ROCA</t>
  </si>
  <si>
    <t>00000298</t>
  </si>
  <si>
    <t>00000318</t>
  </si>
  <si>
    <t>AUBASA BACHEO AUTOPISTA LA PLATA BUENOS AIRES</t>
  </si>
  <si>
    <t>00000319</t>
  </si>
  <si>
    <t>AVELLANEDA HOSPITAL</t>
  </si>
  <si>
    <t>00000320</t>
  </si>
  <si>
    <t>AYACUCHO CENTRO RECREATIVO COMUNAL</t>
  </si>
  <si>
    <t>00000321</t>
  </si>
  <si>
    <t>AYSA AVELLANEDA</t>
  </si>
  <si>
    <t>00000322</t>
  </si>
  <si>
    <t>AYSA ITUZAINGO</t>
  </si>
  <si>
    <t>00000323</t>
  </si>
  <si>
    <t>AYSA LA MORITA</t>
  </si>
  <si>
    <t>00000324</t>
  </si>
  <si>
    <t>AYSA MONTAJE CAÑOS VILLA ZAVALETA</t>
  </si>
  <si>
    <t>00000326</t>
  </si>
  <si>
    <t>COMISION NACIONAL DE ENERGIA ATOMICA - MOVIMIENTO DE SUELOS</t>
  </si>
  <si>
    <t>00000328</t>
  </si>
  <si>
    <t>CAÑUELAS AV DEL CARMEN</t>
  </si>
  <si>
    <t>00000329</t>
  </si>
  <si>
    <t>CERVECERIA</t>
  </si>
  <si>
    <t>00000330</t>
  </si>
  <si>
    <t>DAVID GASTOS</t>
  </si>
  <si>
    <t>00000331</t>
  </si>
  <si>
    <t>FRANCISCO GASTOS</t>
  </si>
  <si>
    <t>00000332</t>
  </si>
  <si>
    <t>GUSTAVO GASTOS</t>
  </si>
  <si>
    <t>00000333</t>
  </si>
  <si>
    <t>IMPUESTOS</t>
  </si>
  <si>
    <t>00000334</t>
  </si>
  <si>
    <t>ACOPIOS A DISTRIBUIR</t>
  </si>
  <si>
    <t>00000336</t>
  </si>
  <si>
    <t>DIRECCION DE HIDRAULICA DERIVADOR AV 31</t>
  </si>
  <si>
    <t>00000337</t>
  </si>
  <si>
    <t>DOLORES</t>
  </si>
  <si>
    <t>00000338</t>
  </si>
  <si>
    <t>DOLORES ASFALTO</t>
  </si>
  <si>
    <t>00000339</t>
  </si>
  <si>
    <t>DPA JARDIN MATERNAL AYACUCHO</t>
  </si>
  <si>
    <t>00000340</t>
  </si>
  <si>
    <t>ECHEVERRIA BACHEO LIC 21-27</t>
  </si>
  <si>
    <t>00000341</t>
  </si>
  <si>
    <t>ECHEVERRIA BACHEO</t>
  </si>
  <si>
    <t>00000342</t>
  </si>
  <si>
    <t>EDELAP</t>
  </si>
  <si>
    <t>00000343</t>
  </si>
  <si>
    <t>EDESUR GERLI</t>
  </si>
  <si>
    <t>00000344</t>
  </si>
  <si>
    <t>EDESUR POMPEYA</t>
  </si>
  <si>
    <t>00000346</t>
  </si>
  <si>
    <t>FRANCISCO CASA</t>
  </si>
  <si>
    <t>00000348</t>
  </si>
  <si>
    <t>DPA HOSPITAL GÜEMES - RED ELECTRICA</t>
  </si>
  <si>
    <t>00000349</t>
  </si>
  <si>
    <t>LA PLATA CLOACAS HERNANDEZ</t>
  </si>
  <si>
    <t>ALTE BROWN ACCESO A BARRIOS LIC 14-19</t>
  </si>
  <si>
    <t>00000325</t>
  </si>
  <si>
    <t>00000350</t>
  </si>
  <si>
    <t>LABARDEN - MOVIMIENTO DE SUELO</t>
  </si>
  <si>
    <t>00000351</t>
  </si>
  <si>
    <t>LANUS</t>
  </si>
  <si>
    <t>CANTERA NAPALEUFU</t>
  </si>
  <si>
    <t>00000327</t>
  </si>
  <si>
    <t>00000352</t>
  </si>
  <si>
    <t>GASTOS LICITACIONES OBRAS UTE</t>
  </si>
  <si>
    <t>00000354</t>
  </si>
  <si>
    <t>METALURGICA</t>
  </si>
  <si>
    <t>00000355</t>
  </si>
  <si>
    <t>MONTE CHINGOLO AYSA</t>
  </si>
  <si>
    <t>00000357</t>
  </si>
  <si>
    <t>PREVISIONES Y QUINCENAS</t>
  </si>
  <si>
    <t>00000358</t>
  </si>
  <si>
    <t>BAHIA BLANCA RED PLUVIAL Y VIAL</t>
  </si>
  <si>
    <t>00000359</t>
  </si>
  <si>
    <t>PROMEBA - JOSE C PAZ</t>
  </si>
  <si>
    <t>00000360</t>
  </si>
  <si>
    <t>CARMEN DE ARECO RUTA 41 BACHEO</t>
  </si>
  <si>
    <t>COMPENSABLE EFVO</t>
  </si>
  <si>
    <t>00000361</t>
  </si>
  <si>
    <t>RUTA 88</t>
  </si>
  <si>
    <t>00000363</t>
  </si>
  <si>
    <t>SAN MARTIN AYSA</t>
  </si>
  <si>
    <t>00000364</t>
  </si>
  <si>
    <t>SEGUROS Y PATENTES</t>
  </si>
  <si>
    <t>00000365</t>
  </si>
  <si>
    <t>UTE UCGP PROVISION AGUA POTABLE Y DESAGÜES CLOACALES VILLA 21-24</t>
  </si>
  <si>
    <t>00000366</t>
  </si>
  <si>
    <t>UTES VARIAS</t>
  </si>
  <si>
    <t>00000367</t>
  </si>
  <si>
    <t>GOBIERNO CIUDAD DE BS AS URBANIZACION VILLA 31</t>
  </si>
  <si>
    <t>00000368</t>
  </si>
  <si>
    <t>SEDE REDETERMINACIONES</t>
  </si>
  <si>
    <t>00000369</t>
  </si>
  <si>
    <t>SEDE ADMINISTRACION-FINANZAS</t>
  </si>
  <si>
    <t>00000371</t>
  </si>
  <si>
    <t>EDENOR REGION 2</t>
  </si>
  <si>
    <t>00000372</t>
  </si>
  <si>
    <t>SYGSA - ISLAS BARRIOS NAUTICOS</t>
  </si>
  <si>
    <t>FLORENCIO VARELA LIC 03-2015</t>
  </si>
  <si>
    <t>00000345</t>
  </si>
  <si>
    <t>00000373</t>
  </si>
  <si>
    <t>SYGSA 467.B.21A</t>
  </si>
  <si>
    <t>00000374</t>
  </si>
  <si>
    <t>SYGSA BARILOCHE</t>
  </si>
  <si>
    <t>GASTOS GRUPO POSE</t>
  </si>
  <si>
    <t>00000347</t>
  </si>
  <si>
    <t>00000375</t>
  </si>
  <si>
    <t>SYGSA 10.55.56</t>
  </si>
  <si>
    <t>00000377</t>
  </si>
  <si>
    <t>SYGSA 51.15.16</t>
  </si>
  <si>
    <t>00000378</t>
  </si>
  <si>
    <t>LP Nª27/2023 NEXO CLOACAL 720 LOTES - SAN VICENTE</t>
  </si>
  <si>
    <t>00000379</t>
  </si>
  <si>
    <t>PROCREAR LOBOS</t>
  </si>
  <si>
    <t>00000380</t>
  </si>
  <si>
    <t>CAC PILAR</t>
  </si>
  <si>
    <t>00000381</t>
  </si>
  <si>
    <t>MODULOS SAME</t>
  </si>
  <si>
    <t>MAR DEL PLATA MORGUE</t>
  </si>
  <si>
    <t>00000353</t>
  </si>
  <si>
    <t>00000382</t>
  </si>
  <si>
    <t>PROYECTO NEUQUÉN</t>
  </si>
  <si>
    <t>00000383</t>
  </si>
  <si>
    <t>ESTABLECIMIENTO E.P. N°26 - SAN VICENTE</t>
  </si>
  <si>
    <t>00000384</t>
  </si>
  <si>
    <t>CAMPO SAN VICENTE</t>
  </si>
  <si>
    <t>OPEN DOOR RED ELECTRICA, PLUVIAL Y VIAL</t>
  </si>
  <si>
    <t>00000356</t>
  </si>
  <si>
    <t>00000385</t>
  </si>
  <si>
    <t>MANTENIMIENTO DE PAVIMENTOS DE HORMIGON EN EL PARTIDO ALTE.BROWN</t>
  </si>
  <si>
    <t>COMPENSABLE QUINCENA</t>
  </si>
  <si>
    <t>00000386</t>
  </si>
  <si>
    <t>EDENOR - CENTRO DE DISTRIBUCION AVELLANEDA</t>
  </si>
  <si>
    <t>00000387</t>
  </si>
  <si>
    <t>EDENOR - CENTRO DE DISTRIBUCION PILAR</t>
  </si>
  <si>
    <t>00000388</t>
  </si>
  <si>
    <t>CAC - CENTRO DE DISTRIBUCION TUCUMAN</t>
  </si>
  <si>
    <t>00000389</t>
  </si>
  <si>
    <t>CAC - CENTRO DE DISTRIBUCIÓN PINAMAR</t>
  </si>
  <si>
    <t>00000390</t>
  </si>
  <si>
    <t>VACA MUERTA MECALL</t>
  </si>
  <si>
    <t>VIALIDAD BACHEO SALADILLO</t>
  </si>
  <si>
    <t>00000362</t>
  </si>
  <si>
    <t>00000391</t>
  </si>
  <si>
    <t>AMPLIACIÓN AVENIDA BARADERO (RP N°15) - 1 ERA ETAPA</t>
  </si>
  <si>
    <t>00000392</t>
  </si>
  <si>
    <t>GDP TRAFUL</t>
  </si>
  <si>
    <t>00000393</t>
  </si>
  <si>
    <t>CAC - CENTRO DE DISTRIBUCION CAÑUELAS</t>
  </si>
  <si>
    <t>00000394</t>
  </si>
  <si>
    <t>CAC- CENTRO DE DISTRUBUCION 139</t>
  </si>
  <si>
    <t>00000395</t>
  </si>
  <si>
    <t>BACHEO DE CALZADA EN AVENIDA RIVADAVIA</t>
  </si>
  <si>
    <t>00000396</t>
  </si>
  <si>
    <t>CONSTRUCCIÓN DE PLATEAS Y PAVIMENTOS CNA I-II.</t>
  </si>
  <si>
    <t>00000397</t>
  </si>
  <si>
    <t>GERENCIA DE MINERIA SAN JUAN</t>
  </si>
  <si>
    <t>00000398</t>
  </si>
  <si>
    <t>MULTAS E INFRACCIONES DE TRANSITO</t>
  </si>
  <si>
    <t>INFRAESTRUCTURA PROCREAR TUCUMAN - UT</t>
  </si>
  <si>
    <t>00000370</t>
  </si>
  <si>
    <t>00000399</t>
  </si>
  <si>
    <t>REHABILITACION DE CALLES DE TIERRA EN EL PARTIDO DE ALTE BROWN-LP N° 17/2024</t>
  </si>
  <si>
    <t>00000400</t>
  </si>
  <si>
    <t>OPISU HOSPITAL ALEJANDRO KORN</t>
  </si>
  <si>
    <t>00000401</t>
  </si>
  <si>
    <t>OPISU - PUERTAS DE HIERRO</t>
  </si>
  <si>
    <t>00000402</t>
  </si>
  <si>
    <t>LP N° 33/2024 - SENDA AEROBICA PLAZA AUYERO</t>
  </si>
  <si>
    <t>00000403</t>
  </si>
  <si>
    <t>LP N° 35/2024 - AVENIDA 29 DE SEPTIEMBRE</t>
  </si>
  <si>
    <t>00000404</t>
  </si>
  <si>
    <t>CASA DIEGO IBAÑEZ</t>
  </si>
  <si>
    <t>SYGSA RAWSON CAMPANA</t>
  </si>
  <si>
    <t>00000376</t>
  </si>
  <si>
    <t>00000405</t>
  </si>
  <si>
    <t>BAÑOS QUIMICOS</t>
  </si>
  <si>
    <t>00000406</t>
  </si>
  <si>
    <t>FABRICACION DE VALLAS Y CAJONES</t>
  </si>
  <si>
    <t>00000407</t>
  </si>
  <si>
    <t>OPISU ESPACIO PRIMERA INFANCIA  - MERCEDES</t>
  </si>
  <si>
    <t>00000408</t>
  </si>
  <si>
    <t>OPISU PAVIMENTACION LOTE 5 - ESCOBAR</t>
  </si>
  <si>
    <t>00000409</t>
  </si>
  <si>
    <t>DESAGUE PLUVIAL CALLE 30 - NAVARRO</t>
  </si>
  <si>
    <t>00000410</t>
  </si>
  <si>
    <t>DESARROLLO URBANISTICO - NEUQUEN</t>
  </si>
  <si>
    <t>00000411</t>
  </si>
  <si>
    <t>AUTOPISTA ROSARIO - SAN LORENZO TERCER CARRIL</t>
  </si>
  <si>
    <t>00000412</t>
  </si>
  <si>
    <t>CONSERVACION DE CALLES DE TIERRA EN EL PARTIDO DE ALMIRANTE BROWN LP N°47/2024</t>
  </si>
  <si>
    <t>00000413</t>
  </si>
  <si>
    <t>LP N° 29/2024 -COLOCACION DE LUMINARIAS EN AV. 29 DE SEPTIEMBRE</t>
  </si>
  <si>
    <t>00000414</t>
  </si>
  <si>
    <t>LEASING PRESTAMOS</t>
  </si>
  <si>
    <t>00000415</t>
  </si>
  <si>
    <t>ACCESOS AL MUNICIPIO AV. REMEDIOS DE ESCALADA DE SAN MARTIN - LANUS OESTE</t>
  </si>
  <si>
    <t>00000416</t>
  </si>
  <si>
    <t>AVENIDA CIRCUNVALACION VENADO TUERTO</t>
  </si>
  <si>
    <t>00000417</t>
  </si>
  <si>
    <t>POSE SA - TECMA SA - RED DE DISTRIBUCION DE AGUA STA FE UT</t>
  </si>
  <si>
    <t>00000418</t>
  </si>
  <si>
    <t>CONSTRUCCION MODULOS DE ALOJAMIENTO NUEVA ESPERANZA - ABASTO</t>
  </si>
  <si>
    <t>00000419</t>
  </si>
  <si>
    <t>POSE - TECMA - 239 VIVIENDAS BERAZATEGUI UT</t>
  </si>
  <si>
    <t>00000420</t>
  </si>
  <si>
    <t>PUESTA EN VALOR DE SEMAFOROS AV 44 LA PLATA</t>
  </si>
  <si>
    <t>00000421</t>
  </si>
  <si>
    <t>BARRIO EL MOLINO - SAN VICENTE</t>
  </si>
  <si>
    <t>00000422</t>
  </si>
  <si>
    <t>WITT</t>
  </si>
  <si>
    <t>00000423</t>
  </si>
  <si>
    <t>DOLORES TERMAS - ETAPA 2</t>
  </si>
  <si>
    <t>00000426</t>
  </si>
  <si>
    <t>Ss INTEGRAL DE MANT ALUMBRADO PUB Y SEMAFOROS</t>
  </si>
  <si>
    <t>00000427</t>
  </si>
  <si>
    <t>POSE BLUECOMM UTE MANTENIMIENTO ALUMBRADO PÚBLICO LA PLATA</t>
  </si>
  <si>
    <t>00000428</t>
  </si>
  <si>
    <t>MAS I PROVINCIA DE BUENOS AIRES</t>
  </si>
  <si>
    <t>00000429</t>
  </si>
  <si>
    <t>PAVIMENTACION - MUNICIPIO MALVINAS ARGENTINAS</t>
  </si>
  <si>
    <t>00000430</t>
  </si>
  <si>
    <t>OBRA CLUB SAN LUIS</t>
  </si>
  <si>
    <t>00000431</t>
  </si>
  <si>
    <t>SOLUCION HABIT. INTEGRAL M 8-18 (mecal - pilli - pose)</t>
  </si>
  <si>
    <t>WALTER GALLARDO</t>
  </si>
  <si>
    <t>00000432</t>
  </si>
  <si>
    <t>DESBROCE GENNEIA SAN JUAN</t>
  </si>
  <si>
    <t>00000433</t>
  </si>
  <si>
    <t>AMPLIACIÓN AVENIDA BARADERO (RP N°15) - 2 DA ETAPA</t>
  </si>
  <si>
    <t>00000434</t>
  </si>
  <si>
    <t>RUTA PROVINCIAL N°62 -ACCESO AL LAGO LOLOG- NEUQUEN</t>
  </si>
  <si>
    <t>FRANCISCO NAVARRO</t>
  </si>
  <si>
    <t>00000435</t>
  </si>
  <si>
    <t>POSE RACAVAL POSE UTE RUTA 1003</t>
  </si>
  <si>
    <t>00000436</t>
  </si>
  <si>
    <t>MANTENIMIENTO DE CALLES DE TIERRA- ZONA II, LP 09/2025</t>
  </si>
  <si>
    <t>00000437</t>
  </si>
  <si>
    <t>SEGURIDAD E HIGIENE OBRAS TRUJILLO</t>
  </si>
  <si>
    <t>00000438</t>
  </si>
  <si>
    <t>00000439</t>
  </si>
  <si>
    <t>PLANTA DE TRATAMIENTO BARRIO LAS BRISAS</t>
  </si>
  <si>
    <t>00000440</t>
  </si>
  <si>
    <t>CONSTRUCCION SERVICIO DE GUARDIA HOSPITAL MUNICIPAL "SATURNINO E. UNZUÉ" 25 DE MAYO</t>
  </si>
  <si>
    <t>00000441</t>
  </si>
  <si>
    <t>MAIPU - LABARDEN</t>
  </si>
  <si>
    <t>00000442</t>
  </si>
  <si>
    <t>PROVISION DE EQUIPOS DE ALUMBRADO PUBLICO</t>
  </si>
  <si>
    <t>00000443</t>
  </si>
  <si>
    <t>PASEO DE LA RIBERA NORTE</t>
  </si>
  <si>
    <t>00000444</t>
  </si>
  <si>
    <t>MEJORA BARRIAL CORREDOR MILLAN</t>
  </si>
  <si>
    <t>00000445</t>
  </si>
  <si>
    <t>LA AMELIA - EXALTACION DE LA CRUZ - SYGSA</t>
  </si>
  <si>
    <t>Walter Gallardo</t>
  </si>
  <si>
    <t>00000446</t>
  </si>
  <si>
    <t>GASTOS GONZALO SILVA</t>
  </si>
  <si>
    <t>00000447</t>
  </si>
  <si>
    <t>IMPORTACIONES</t>
  </si>
  <si>
    <t>JOAQUIN SERNA</t>
  </si>
  <si>
    <t>00000448</t>
  </si>
  <si>
    <t>BACHEO DE CALZADA EN EL BARRIO SARGENTO CABRAL Y BARRIO LOS AMIGOS</t>
  </si>
  <si>
    <t>Francisco Navarro</t>
  </si>
  <si>
    <t>00000450</t>
  </si>
  <si>
    <t>OBRA ELECTRICA LA AMELIA</t>
  </si>
  <si>
    <t>00000451</t>
  </si>
  <si>
    <t>TECHSED S.A.</t>
  </si>
  <si>
    <t>00000452</t>
  </si>
  <si>
    <t>JUICIO QUILMES</t>
  </si>
  <si>
    <t>COMPENSABLE WITT</t>
  </si>
  <si>
    <t>00000453</t>
  </si>
  <si>
    <t>MEJORAMIENTO LIVIANO DE VÍA LÍNEA GENERAL SAN MARTIN- R2 LPN N° 44/2024</t>
  </si>
  <si>
    <t>00000454</t>
  </si>
  <si>
    <t>COARCO SA POSE SA RUTA 2 MAIPU</t>
  </si>
  <si>
    <t>00000455</t>
  </si>
  <si>
    <t>BARRIO PUNTO SUR - COMERCIAL</t>
  </si>
  <si>
    <t>00000456</t>
  </si>
  <si>
    <t>ESTACION POLICIAL ROSARIO NORTE</t>
  </si>
  <si>
    <t>00000457</t>
  </si>
  <si>
    <t>REFACCIONES VIVIENDAS MUNICIPALIDAD DE NAVARRO</t>
  </si>
  <si>
    <t>00000458</t>
  </si>
  <si>
    <t>BARRIO PUNTO SUR – INFRAESTRUCTURA</t>
  </si>
  <si>
    <t>00000459</t>
  </si>
  <si>
    <t>REMODELACION SALA DE REUNIONES</t>
  </si>
  <si>
    <t>00000460</t>
  </si>
  <si>
    <t>ASFALTIUM SA</t>
  </si>
  <si>
    <t>00000461</t>
  </si>
  <si>
    <t>UTE POSE GAMA AEROPUERTO TUCUMAN</t>
  </si>
  <si>
    <t>00000462</t>
  </si>
  <si>
    <t>POSE BHY NEUQUEN</t>
  </si>
  <si>
    <t>Joaquin Serna</t>
  </si>
  <si>
    <t>00000463</t>
  </si>
  <si>
    <t>RED FEDERAL DE CONCESIONES - TRAMOS ACCESOS SUR Y  SUR</t>
  </si>
  <si>
    <t>00000464</t>
  </si>
  <si>
    <t>SYGSA AURA - PINAMAR 2</t>
  </si>
  <si>
    <t>00000465</t>
  </si>
  <si>
    <t>PUESTA EN VALOR ESTACION ANGEL GALLARDO (LINEA B)</t>
  </si>
  <si>
    <t>00000466</t>
  </si>
  <si>
    <t>FINANCIERO</t>
  </si>
  <si>
    <t>00000467</t>
  </si>
  <si>
    <t>PAVIMENTACIÓN RUTA PROVINCIAL N° 19, Y ESTACIONAMIENTO CERRO CHAPELCO</t>
  </si>
  <si>
    <t>00000468</t>
  </si>
  <si>
    <t>DUPLICACIÓN DE CALZADA EN RP N° 67, NEUQUÉN</t>
  </si>
  <si>
    <t>00000469</t>
  </si>
  <si>
    <t>REMODELACIÓN DEL AEROPUERTO TUCUMÁN</t>
  </si>
  <si>
    <t>00000470</t>
  </si>
  <si>
    <t>ENRIQUETA ALDEA URBANA</t>
  </si>
  <si>
    <t>00000471</t>
  </si>
  <si>
    <t>SEDE PLANEAMIENTO</t>
  </si>
  <si>
    <t>00000472</t>
  </si>
  <si>
    <t>MOD - ARQUITECTURA MODULAR</t>
  </si>
  <si>
    <t>Francisco di Lisio</t>
  </si>
  <si>
    <t>00000473</t>
  </si>
  <si>
    <t>WORK PROJECTS SEDE</t>
  </si>
  <si>
    <t>00000474</t>
  </si>
  <si>
    <t>CENTRO DE DISTRIBUCION 520</t>
  </si>
  <si>
    <t>00000475</t>
  </si>
  <si>
    <t>REMODELACION DE EDIFICIO DE CATERING ENSENADA</t>
  </si>
  <si>
    <t>00000476</t>
  </si>
  <si>
    <t>REPARACIONES EN RUTAS DE RED VIAL ZONA VI - ROSARIO</t>
  </si>
  <si>
    <t>00000477</t>
  </si>
  <si>
    <t>PRANA SA</t>
  </si>
  <si>
    <t>00000478</t>
  </si>
  <si>
    <t>TREVIA SA</t>
  </si>
  <si>
    <t>OBRA ELECTRICA Y TENDIDO DE FIBRA OPTICA LAGO LOLOG</t>
  </si>
  <si>
    <t>00000449</t>
  </si>
  <si>
    <t>00000479</t>
  </si>
  <si>
    <t>PAVIMENTACION PUNTA LARA</t>
  </si>
  <si>
    <t>00000480</t>
  </si>
  <si>
    <t>ENRIQUETA ALDEA URBANA INFRA</t>
  </si>
  <si>
    <t>00000481</t>
  </si>
  <si>
    <t>SGI - SISTEMA DE GESTION INTEGRADO</t>
  </si>
  <si>
    <t>OSCAR SANCHEZ</t>
  </si>
  <si>
    <t>00000482</t>
  </si>
  <si>
    <t>AMORTIZACIONES</t>
  </si>
  <si>
    <t>00000483</t>
  </si>
  <si>
    <t>DITERRA S.A</t>
  </si>
  <si>
    <t>00000484</t>
  </si>
  <si>
    <t>ALCANTARILLA HORMIGON - SAN VICENTE</t>
  </si>
  <si>
    <t>00000485</t>
  </si>
  <si>
    <t>POSE ILUBAIRES UTE MANTENIMIENTO ALUMBRADO PUBLICO LA PLATA</t>
  </si>
  <si>
    <t>00000486</t>
  </si>
  <si>
    <t>NUEVA ESTACION DE LA UNIVERSIDAD DE ALTE. BROWN - LINEA ROCA</t>
  </si>
  <si>
    <t>00000487</t>
  </si>
  <si>
    <t>TECMA S.A.-POSE S.A. MANTENIMIENTO REDES</t>
  </si>
  <si>
    <t>00000488</t>
  </si>
  <si>
    <t>CONSTRUCCION DE DEPENDENCIAS POLICIALES - OPISU</t>
  </si>
  <si>
    <t>A.C.A.R.A</t>
  </si>
  <si>
    <t>BDL</t>
  </si>
  <si>
    <t>ACCESO GENELB</t>
  </si>
  <si>
    <t>ACCESO GENELBA</t>
  </si>
  <si>
    <t>ACOPIO</t>
  </si>
  <si>
    <t xml:space="preserve">ADIF ANDENES </t>
  </si>
  <si>
    <t>ADIF ANDENES 31-13</t>
  </si>
  <si>
    <t>ADIF MODULOS</t>
  </si>
  <si>
    <t>Oscar Sanchez</t>
  </si>
  <si>
    <t>ARRECIFES</t>
  </si>
  <si>
    <t>VIALIDAD BACHEO ARRECIFES</t>
  </si>
  <si>
    <t>AUSA</t>
  </si>
  <si>
    <t>AZUL</t>
  </si>
  <si>
    <t>VIALIDAD BACHEO AZUL</t>
  </si>
  <si>
    <t xml:space="preserve">BAHIA BLANCA </t>
  </si>
  <si>
    <t>BAHIA BLANCA HOSPITAL PENNA</t>
  </si>
  <si>
    <t>BELGRANO HOCK</t>
  </si>
  <si>
    <t>BELGRANO HOCKEY</t>
  </si>
  <si>
    <t>BOMBEROS ETAP</t>
  </si>
  <si>
    <t>BOMBEROS ETAPA 2</t>
  </si>
  <si>
    <t>BROWN BARRIOS</t>
  </si>
  <si>
    <t>00000489</t>
  </si>
  <si>
    <t>PEHUEN</t>
  </si>
  <si>
    <t>BUNGE SPAR</t>
  </si>
  <si>
    <t>00000490</t>
  </si>
  <si>
    <t>COMPRALYTICS</t>
  </si>
  <si>
    <t>CANTERA</t>
  </si>
  <si>
    <t>CANTERA DE NAPALEUFU</t>
  </si>
  <si>
    <t>00000491</t>
  </si>
  <si>
    <t>QUIRQUINCHO</t>
  </si>
  <si>
    <t>CAÑUELAS ACCE</t>
  </si>
  <si>
    <t>CAÑUELAS ACCESO CERAMICA</t>
  </si>
  <si>
    <t>TALLER</t>
  </si>
  <si>
    <t>00000492</t>
  </si>
  <si>
    <t>WMS</t>
  </si>
  <si>
    <t>CAÑUELAS AV D</t>
  </si>
  <si>
    <t>00000493</t>
  </si>
  <si>
    <t>MAS II PBA</t>
  </si>
  <si>
    <t>CAÑUELAS VIAL</t>
  </si>
  <si>
    <t>CAÑUELAS VIALIDAD BS AS</t>
  </si>
  <si>
    <t>00000494</t>
  </si>
  <si>
    <t>LOCAL VENTAS</t>
  </si>
  <si>
    <t>CARRETON</t>
  </si>
  <si>
    <t>ASFALTIUM</t>
  </si>
  <si>
    <t>00000495</t>
  </si>
  <si>
    <t>MI OBRA ONLINE</t>
  </si>
  <si>
    <t>00000496</t>
  </si>
  <si>
    <t>BACHEO Y RECONSTRUCCION LOSAS DE HORMIGON- PTO BAHIA BLANCA</t>
  </si>
  <si>
    <t>CITY BELL MUN</t>
  </si>
  <si>
    <t>CITY BELL MUNICIPALIDAD LA PLATA</t>
  </si>
  <si>
    <t>00000497</t>
  </si>
  <si>
    <t>YURUMI</t>
  </si>
  <si>
    <t>COCI S.A</t>
  </si>
  <si>
    <t>00000498</t>
  </si>
  <si>
    <t>MEJORAMIENTO SUPERFICIAL DE CALZADA EN RP Nº 13 EMPALME RP Nº 40 - PRIMEROS PINOS - SECCIÓN I</t>
  </si>
  <si>
    <t>COMISARIA V</t>
  </si>
  <si>
    <t>DPA COMISARIA V</t>
  </si>
  <si>
    <t xml:space="preserve">COMPRA VENTA </t>
  </si>
  <si>
    <t xml:space="preserve">COMPRA VENTA DE BIENES DE CAMBIO </t>
  </si>
  <si>
    <t>COUNTRY ECHEV</t>
  </si>
  <si>
    <t>COUNTRY ECHEVERRIA</t>
  </si>
  <si>
    <t>DEUDA INTERLOG</t>
  </si>
  <si>
    <t>DORREGO</t>
  </si>
  <si>
    <t>ECHEVERRIA CA</t>
  </si>
  <si>
    <t>ECHEVERRIA CALLE MARXER</t>
  </si>
  <si>
    <t>ECHEVERRIA CE</t>
  </si>
  <si>
    <t>ECHEVERRIA CEMENTERIO</t>
  </si>
  <si>
    <t>ACTIVOS DIGITALES</t>
  </si>
  <si>
    <t>ECHEVERRIA EL</t>
  </si>
  <si>
    <t>ECHEVERRIA ELECTRICIDAD</t>
  </si>
  <si>
    <t>ECHEVERRIA SE</t>
  </si>
  <si>
    <t>ECHEVERRIA SELLADO</t>
  </si>
  <si>
    <t>EDESUR</t>
  </si>
  <si>
    <t>EDESUR NUEVOS</t>
  </si>
  <si>
    <t>EDESUR NUEVOS SUMINISTROS</t>
  </si>
  <si>
    <t>Activos Pañol</t>
  </si>
  <si>
    <t>A</t>
  </si>
  <si>
    <t>ENSENADA HOSP</t>
  </si>
  <si>
    <t>ENSENADA HOSPITAL CESTINO</t>
  </si>
  <si>
    <t>FCIO VAR HOC</t>
  </si>
  <si>
    <t>FLORENCIO VARELA HOCKEY</t>
  </si>
  <si>
    <t>GAHAN SPAR</t>
  </si>
  <si>
    <t>GENERAL VILLE</t>
  </si>
  <si>
    <t>GENERAL VILLEGAS</t>
  </si>
  <si>
    <t>ADIF ANDENES</t>
  </si>
  <si>
    <t>GONZALO, SILVA</t>
  </si>
  <si>
    <t>HYDRA</t>
  </si>
  <si>
    <t>IMPUESTOS POSE</t>
  </si>
  <si>
    <t>DAVID-GUSTAV</t>
  </si>
  <si>
    <t>DAVID GUSTAVO GASTOS</t>
  </si>
  <si>
    <t>JOSE C PAZ</t>
  </si>
  <si>
    <t>JOSE C PAZ - DESAGÜES PLUVIALES</t>
  </si>
  <si>
    <t>LA MATANZA PA</t>
  </si>
  <si>
    <t>LA MATANZA PAVIMENTO</t>
  </si>
  <si>
    <t>BAHIA BLANCA</t>
  </si>
  <si>
    <t>LA MATANZA PR</t>
  </si>
  <si>
    <t>LA MATANZA PROCREAR</t>
  </si>
  <si>
    <t>LA PLATA ALCA</t>
  </si>
  <si>
    <t>LA PLATA ALCANTARILLAS</t>
  </si>
  <si>
    <t xml:space="preserve">LA PLATA SAN </t>
  </si>
  <si>
    <t>LA PLATA SAN LORENZO</t>
  </si>
  <si>
    <t>LA PLATA SPAR</t>
  </si>
  <si>
    <t>LINCOLN BARRI</t>
  </si>
  <si>
    <t>LINCOLN BARRIO FONAVI</t>
  </si>
  <si>
    <t>LINCOLN VIALI</t>
  </si>
  <si>
    <t>LINCOLN VIALIDAD</t>
  </si>
  <si>
    <t>LOMAS DE ZAMO</t>
  </si>
  <si>
    <t>LOMAS DE ZAMORA AYSA</t>
  </si>
  <si>
    <t>MAR DEL PLATA</t>
  </si>
  <si>
    <t>MARCOS CASA</t>
  </si>
  <si>
    <t>MIN TRANSP</t>
  </si>
  <si>
    <t>MINERIA BITCOIN</t>
  </si>
  <si>
    <t>COMPRA VENTA DE BIENES DE CAMBIO</t>
  </si>
  <si>
    <t>COMPRA VENTA</t>
  </si>
  <si>
    <t>MORENO</t>
  </si>
  <si>
    <t>MORENO HOCKEY</t>
  </si>
  <si>
    <t>MORENO NICARA</t>
  </si>
  <si>
    <t>MORENO NICARAGUA</t>
  </si>
  <si>
    <t>MORENO PROMEB</t>
  </si>
  <si>
    <t>MORENO PROMEBA</t>
  </si>
  <si>
    <t>NECO</t>
  </si>
  <si>
    <t>VIALIDAD BACHEO NECOCHEA</t>
  </si>
  <si>
    <t>NECOCHEA</t>
  </si>
  <si>
    <t>OBRAS POSE</t>
  </si>
  <si>
    <t>PEARSON SPAR</t>
  </si>
  <si>
    <t>PILAR VERAZUL</t>
  </si>
  <si>
    <t>PL ASF LINC</t>
  </si>
  <si>
    <t>PLANTA DE ASFALTO LINCOLN</t>
  </si>
  <si>
    <t>PLANTA DE ASF</t>
  </si>
  <si>
    <t>PLANTA DE ASFALTO</t>
  </si>
  <si>
    <t>REPETTO ERNESTO</t>
  </si>
  <si>
    <t>RUTA 50 MARCA</t>
  </si>
  <si>
    <t>RUTA 50 MARCALBA</t>
  </si>
  <si>
    <t>RUTA 6</t>
  </si>
  <si>
    <t>RUTA 70 VIALM</t>
  </si>
  <si>
    <t>RUTA 70 VIALME</t>
  </si>
  <si>
    <t>SALADILLO</t>
  </si>
  <si>
    <t>SOFSE</t>
  </si>
  <si>
    <t>ITUZAINGO AYSA</t>
  </si>
  <si>
    <t>ITUZAINGO AYS</t>
  </si>
  <si>
    <t>JAIMOT CELESTE</t>
  </si>
  <si>
    <t>TALLER LIC 03-2015</t>
  </si>
  <si>
    <t>TARJETA 0465</t>
  </si>
  <si>
    <t>TARJETA 0465 PAOLTRONI</t>
  </si>
  <si>
    <t>TARJETA 1030</t>
  </si>
  <si>
    <t>TARJETA 1030 SERNA</t>
  </si>
  <si>
    <t>TARJETA 2727</t>
  </si>
  <si>
    <t>TARJETA 2727 SERNA</t>
  </si>
  <si>
    <t>TARJETA 2735</t>
  </si>
  <si>
    <t>TARJETA 2735 DI LISIO</t>
  </si>
  <si>
    <t>LA PLATA SAN</t>
  </si>
  <si>
    <t>TALLER REPARA</t>
  </si>
  <si>
    <t>TALLER REPARACIONES</t>
  </si>
  <si>
    <t>TARJETA 46980</t>
  </si>
  <si>
    <t>TARJETA 46980 OLIVERA</t>
  </si>
  <si>
    <t>TARJETA 6651</t>
  </si>
  <si>
    <t>TARJETA 6651 PIERGENTILI</t>
  </si>
  <si>
    <t>TARJETA 6823</t>
  </si>
  <si>
    <t>TARJETA 6823 DI LISIO</t>
  </si>
  <si>
    <t>TARJETA 9660</t>
  </si>
  <si>
    <t>TARJETA 9660 ETCHANCHU</t>
  </si>
  <si>
    <t>TARJETA 9869</t>
  </si>
  <si>
    <t>TARJETA 9869 DI LISIO</t>
  </si>
  <si>
    <t>TIGRE AYSA</t>
  </si>
  <si>
    <t>UDAONDO</t>
  </si>
  <si>
    <t>UNSAM</t>
  </si>
  <si>
    <t>UNIVERSIDAD DE SAN MARTIN</t>
  </si>
  <si>
    <t>VENTA DE ASFA</t>
  </si>
  <si>
    <t>VENTA DE ASFALTO</t>
  </si>
  <si>
    <t>VENTA HORMIGO</t>
  </si>
  <si>
    <t>VENTA HORMIGON</t>
  </si>
  <si>
    <t>VOLCADORES</t>
  </si>
  <si>
    <t>ALQUILER CAMIONES VOLCADORES</t>
  </si>
  <si>
    <t>ZARATE</t>
  </si>
  <si>
    <t>ZARATE SERVICIO ZONAL</t>
  </si>
  <si>
    <t>_SEDE</t>
  </si>
  <si>
    <t>SED3</t>
  </si>
  <si>
    <t>SIN OBRA</t>
  </si>
  <si>
    <t>Sin Obra</t>
  </si>
  <si>
    <t>Repetto Ernesto</t>
  </si>
  <si>
    <t>AGREGAR SIEMPRE</t>
  </si>
  <si>
    <t>TIPO_COMPROBANTE</t>
  </si>
  <si>
    <t>COEF</t>
  </si>
  <si>
    <t>ABREVIATURA</t>
  </si>
  <si>
    <t>AJUSTE DE STOCK</t>
  </si>
  <si>
    <t>AJ</t>
  </si>
  <si>
    <t>ANTICIPOS AL PERSONAL</t>
  </si>
  <si>
    <t>AP</t>
  </si>
  <si>
    <t>ASIENTO ACREEDOR</t>
  </si>
  <si>
    <t>AA</t>
  </si>
  <si>
    <t>ASIENTO DEUDOR</t>
  </si>
  <si>
    <t>AD</t>
  </si>
  <si>
    <t>ASIENTO MANUAL</t>
  </si>
  <si>
    <t>AS</t>
  </si>
  <si>
    <t>AUTORIZACION DE COMPRA</t>
  </si>
  <si>
    <t>AC</t>
  </si>
  <si>
    <t>CAJA EGRESOS</t>
  </si>
  <si>
    <t>CE</t>
  </si>
  <si>
    <t>CAJA INGRESOS</t>
  </si>
  <si>
    <t>CI</t>
  </si>
  <si>
    <t>CHEQUE</t>
  </si>
  <si>
    <t>CH</t>
  </si>
  <si>
    <t>COMPARATIVA</t>
  </si>
  <si>
    <t>CM</t>
  </si>
  <si>
    <t>COMPENSACION</t>
  </si>
  <si>
    <t>CO</t>
  </si>
  <si>
    <t>COMPROBANTES DE SERVICIOS PUBLICOS</t>
  </si>
  <si>
    <t>TKF</t>
  </si>
  <si>
    <t>CRÉDITO BANCARIO</t>
  </si>
  <si>
    <t>CB</t>
  </si>
  <si>
    <t>CRÉDITO BANCARIO (INT)</t>
  </si>
  <si>
    <t>CBI</t>
  </si>
  <si>
    <t>CUENTA DE VENTA Y LIQUIDO PRODUCTO</t>
  </si>
  <si>
    <t>CV</t>
  </si>
  <si>
    <t>DÉBITO BANCARIO</t>
  </si>
  <si>
    <t>DB</t>
  </si>
  <si>
    <t>DÉBITO BANCARIO GTOS</t>
  </si>
  <si>
    <t>DBG</t>
  </si>
  <si>
    <t>DÉBITO BANCARIO GTOS (INT)</t>
  </si>
  <si>
    <t>DBGI</t>
  </si>
  <si>
    <t>DEPOSITO</t>
  </si>
  <si>
    <t>DE</t>
  </si>
  <si>
    <t>DEPOSITO EFECTIVO</t>
  </si>
  <si>
    <t>EF</t>
  </si>
  <si>
    <t>DESCUENTO</t>
  </si>
  <si>
    <t>DO</t>
  </si>
  <si>
    <t>DEVOLUCION</t>
  </si>
  <si>
    <t>CD</t>
  </si>
  <si>
    <t>DEVOLUCION FONDO FIJO</t>
  </si>
  <si>
    <t>DFF</t>
  </si>
  <si>
    <t>DOCUMENTO</t>
  </si>
  <si>
    <t>DC</t>
  </si>
  <si>
    <t>FACT. CRED. ELECTRONICA MIPYMES</t>
  </si>
  <si>
    <t>FCE</t>
  </si>
  <si>
    <t>FACTURA COMPRA</t>
  </si>
  <si>
    <t>FC</t>
  </si>
  <si>
    <t>FACTURA COMPRA (IMP.)</t>
  </si>
  <si>
    <t>FCI</t>
  </si>
  <si>
    <t>FACTURA DE CREDITO ELECTRONICA MIPYMES</t>
  </si>
  <si>
    <t>FAC</t>
  </si>
  <si>
    <t>FACTURA VENTA</t>
  </si>
  <si>
    <t>FA</t>
  </si>
  <si>
    <t>GASTOS FLETES</t>
  </si>
  <si>
    <t>GF</t>
  </si>
  <si>
    <t>LISTA DE ACOPIO</t>
  </si>
  <si>
    <t>LA</t>
  </si>
  <si>
    <t>LISTA MATERIALES</t>
  </si>
  <si>
    <t>LM</t>
  </si>
  <si>
    <t>N. CRED. ELECTRONICA MIPYMES</t>
  </si>
  <si>
    <t>NCE</t>
  </si>
  <si>
    <t>N. CRED. INT. MIPYME</t>
  </si>
  <si>
    <t>NCIE</t>
  </si>
  <si>
    <t>N. DEB. ELECTRONICA MIPYMES</t>
  </si>
  <si>
    <t>NDE</t>
  </si>
  <si>
    <t>N. DEB. INT. MIPYME</t>
  </si>
  <si>
    <t>NDIE</t>
  </si>
  <si>
    <t>NOTA DE CREDITO</t>
  </si>
  <si>
    <t>NC</t>
  </si>
  <si>
    <t>NOTA DE CREDITO ELECTRONICA MIPYMES</t>
  </si>
  <si>
    <t>NCC</t>
  </si>
  <si>
    <t>NOTA DE CREDITO PROVEEDOR</t>
  </si>
  <si>
    <t>CP</t>
  </si>
  <si>
    <t>NOTA DE DEBITO</t>
  </si>
  <si>
    <t>ND</t>
  </si>
  <si>
    <t>NOTA DE DEBITO ELECTRONICA MIPYMES</t>
  </si>
  <si>
    <t>NDC</t>
  </si>
  <si>
    <t>NOTA DE DEBITO PROVEEDOR</t>
  </si>
  <si>
    <t>DP</t>
  </si>
  <si>
    <t>NOTA DE DEBITO PROVEEDOR (INT.)</t>
  </si>
  <si>
    <t>DI</t>
  </si>
  <si>
    <t>NOTA DE PEDIDO</t>
  </si>
  <si>
    <t>PE</t>
  </si>
  <si>
    <t>ORDEN DE PAGO</t>
  </si>
  <si>
    <t>OP</t>
  </si>
  <si>
    <t>OTROS</t>
  </si>
  <si>
    <t>OT</t>
  </si>
  <si>
    <t>OTROS INGRESOS</t>
  </si>
  <si>
    <t>OI</t>
  </si>
  <si>
    <t>PARTE PRODUCCION</t>
  </si>
  <si>
    <t>PP</t>
  </si>
  <si>
    <t>PATENTE</t>
  </si>
  <si>
    <t>PT</t>
  </si>
  <si>
    <t>PLAN FACILIDADES</t>
  </si>
  <si>
    <t>PF</t>
  </si>
  <si>
    <t>PROVISION</t>
  </si>
  <si>
    <t>PR</t>
  </si>
  <si>
    <t>RECEPCION DE MATERIALES</t>
  </si>
  <si>
    <t>RC</t>
  </si>
  <si>
    <t>RECIBO COMPRA A</t>
  </si>
  <si>
    <t>RCA</t>
  </si>
  <si>
    <t>RECIBO DE PAGO</t>
  </si>
  <si>
    <t>RE</t>
  </si>
  <si>
    <t>REMITO</t>
  </si>
  <si>
    <t>RM</t>
  </si>
  <si>
    <t>REQUERIMIENTO</t>
  </si>
  <si>
    <t>RQ</t>
  </si>
  <si>
    <t>SALIDA DE MATERIALES</t>
  </si>
  <si>
    <t>SM</t>
  </si>
  <si>
    <t>SOLICITUD DE COTIZACION</t>
  </si>
  <si>
    <t>SC</t>
  </si>
  <si>
    <t>TARJETA CREDITO</t>
  </si>
  <si>
    <t>TJ</t>
  </si>
  <si>
    <t>TRANSFERENCIA BANCARIA</t>
  </si>
  <si>
    <t>TB</t>
  </si>
  <si>
    <t>DESCRIPCION_OBRA_ORIGEN</t>
  </si>
  <si>
    <t>DESCRIPCION_OBRA_DESTINO</t>
  </si>
  <si>
    <t>FUENTE_ORIG</t>
  </si>
  <si>
    <t>FUENTE_INFORME</t>
  </si>
  <si>
    <t>AJ PER ANTERIORES</t>
  </si>
  <si>
    <t>AJUSTE</t>
  </si>
  <si>
    <t>AJUSTE COSTOS</t>
  </si>
  <si>
    <t>AJUSTE FACTURACIÓN</t>
  </si>
  <si>
    <t>AJUSTE JOAQUIN 09-12-2024</t>
  </si>
  <si>
    <t>AJUSTE PERIODOS ANTERIORES</t>
  </si>
  <si>
    <t>AJUSTES ABRIL</t>
  </si>
  <si>
    <t>ASFALTO</t>
  </si>
  <si>
    <t>BRIC</t>
  </si>
  <si>
    <t>BRIC HORMIGON</t>
  </si>
  <si>
    <t>CAC HORMIGON</t>
  </si>
  <si>
    <t>EFECTIVO</t>
  </si>
  <si>
    <t>EFECTIVO MO</t>
  </si>
  <si>
    <t>EQUIPOS</t>
  </si>
  <si>
    <t>EQUIPOS AMORT</t>
  </si>
  <si>
    <t>EQUIPOS RYR</t>
  </si>
  <si>
    <t>EQUIPOS RyR</t>
  </si>
  <si>
    <t>FACTURACION</t>
  </si>
  <si>
    <t>FACTURACIÓN</t>
  </si>
  <si>
    <t>FACTURACION FDL</t>
  </si>
  <si>
    <t>GASTO SEDE</t>
  </si>
  <si>
    <t>GG FDL</t>
  </si>
  <si>
    <t>GG JM</t>
  </si>
  <si>
    <t>IMPUT DIRECTA</t>
  </si>
  <si>
    <t>IMPUTACION DIRECTA</t>
  </si>
  <si>
    <t>MANTENIMIENTO</t>
  </si>
  <si>
    <t>MENSUALES</t>
  </si>
  <si>
    <t>PREST INTERNAS</t>
  </si>
  <si>
    <t>PRESTACION INTERNA</t>
  </si>
  <si>
    <t>PRESTACIONES INTERNAS</t>
  </si>
  <si>
    <t>PRONTO</t>
  </si>
  <si>
    <t>QUINCENA</t>
  </si>
  <si>
    <t>QUINCENAS</t>
  </si>
  <si>
    <t>REPARACIONES</t>
  </si>
  <si>
    <t>TRASLADOS</t>
  </si>
  <si>
    <t>VENTA ASFALTO</t>
  </si>
  <si>
    <t>COMP SYGSA-POSE</t>
  </si>
  <si>
    <t>COMP BRIC-POSE</t>
  </si>
  <si>
    <t>COMP CAC-POSE</t>
  </si>
  <si>
    <t>PRESTACIONES CONTABLES</t>
  </si>
  <si>
    <t>PREST CONTABLES</t>
  </si>
  <si>
    <t>ALQUILERES</t>
  </si>
  <si>
    <t>PRESTACIONES PRODUCTOS CHINA</t>
  </si>
  <si>
    <t>PREST PROD CHINA</t>
  </si>
  <si>
    <t>COMPENSACION ANUAL RYR</t>
  </si>
  <si>
    <t>COMP ANUAL RYR</t>
  </si>
  <si>
    <t>COMP TECHSED-POSE</t>
  </si>
  <si>
    <t>RECUPERO GASTO SEDE</t>
  </si>
  <si>
    <t>RECUP GASTO SEDE</t>
  </si>
  <si>
    <t>Fecha</t>
  </si>
  <si>
    <t>TC comprador</t>
  </si>
  <si>
    <t>TC Vendedor</t>
  </si>
  <si>
    <t xml:space="preserve">OBRA_PRONTO </t>
  </si>
  <si>
    <t xml:space="preserve"> FECHA_DESDE </t>
  </si>
  <si>
    <t xml:space="preserve"> FECHA_HASTA </t>
  </si>
  <si>
    <t xml:space="preserve"> GERENCIA_OVERRIDE </t>
  </si>
  <si>
    <t xml:space="preserve"> ACTIVO </t>
  </si>
  <si>
    <t xml:space="preserve"> OBSERVACION</t>
  </si>
  <si>
    <t xml:space="preserve"> Gerencia anterior antes de reorganización</t>
  </si>
  <si>
    <t xml:space="preserve"> Gerencia actual post-reorganización</t>
  </si>
  <si>
    <t>CENTRO_COSTO</t>
  </si>
  <si>
    <t>BRUNASUR</t>
  </si>
  <si>
    <t>MINISTRO RIVADAVIA</t>
  </si>
  <si>
    <t>SIN ASIGNACION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</si>
</sst>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&quot;$&quot;_-;\-* #,##0.00\ &quot;$&quot;_-;_-* &quot;-&quot;??\ &quot;$&quot;_-;_-@_-"/>
  </numFmts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FFFFFF"/>
      <name val="Calibri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72C4"/>
        <bgColor rgb="FF4472C4"/>
      </patternFill>
    </fill>
  </fills>
  <borders count="19">
    <border>
      <left/>
      <right/>
      <top/>
      <bottom/>
      <diagonal/>
    </border>
    <border>
      <left style="thin">
        <color rgb="FF000000" tint="0.39997558519241921"/>
      </left>
      <right style="thin">
        <color rgb="FF000000" tint="0.39997558519241921"/>
      </right>
      <top style="thin">
        <color rgb="FF000000" tint="0.39997558519241921"/>
      </top>
      <bottom style="thin">
        <color rgb="FF000000" tint="0.39997558519241921"/>
      </bottom>
      <diagonal/>
    </border>
    <border>
      <left style="thin">
        <color rgb="FF000000" tint="0.39997558519241921"/>
      </left>
      <right style="thin">
        <color rgb="FF000000" tint="0.39997558519241921"/>
      </right>
      <top style="thin">
        <color rgb="FF000000" tint="0.39997558519241921"/>
      </top>
      <bottom/>
      <diagonal/>
    </border>
    <border>
      <left style="thin">
        <color rgb="FF000000" tint="0.39997558519241921"/>
      </left>
      <right style="thin">
        <color rgb="FF000000" tint="0.39997558519241921"/>
      </right>
      <top/>
      <bottom style="thin">
        <color rgb="FF000000" tint="0.39997558519241921"/>
      </bottom>
      <diagonal/>
    </border>
    <border>
      <left style="thin">
        <color rgb="FF000000" tint="0.39997558519241921"/>
      </left>
      <right style="thin">
        <color rgb="FF000000" tint="0.39997558519241921"/>
      </right>
      <top/>
      <bottom/>
      <diagonal/>
    </border>
    <border>
      <left style="medium">
        <color indexed="64"/>
      </left>
      <right style="thin">
        <color rgb="FF000000" tint="0.39997558519241921"/>
      </right>
      <top style="medium">
        <color indexed="64"/>
      </top>
      <bottom style="thin">
        <color rgb="FF000000" tint="0.39997558519241921"/>
      </bottom>
      <diagonal/>
    </border>
    <border>
      <left style="thin">
        <color rgb="FF000000" tint="0.39997558519241921"/>
      </left>
      <right style="thin">
        <color rgb="FF000000" tint="0.39997558519241921"/>
      </right>
      <top style="medium">
        <color indexed="64"/>
      </top>
      <bottom style="thin">
        <color rgb="FF000000" tint="0.39997558519241921"/>
      </bottom>
      <diagonal/>
    </border>
    <border>
      <left style="thin">
        <color rgb="FF000000" tint="0.39997558519241921"/>
      </left>
      <right style="medium">
        <color indexed="64"/>
      </right>
      <top style="medium">
        <color indexed="64"/>
      </top>
      <bottom style="thin">
        <color rgb="FF000000" tint="0.39997558519241921"/>
      </bottom>
      <diagonal/>
    </border>
    <border>
      <left style="medium">
        <color indexed="64"/>
      </left>
      <right style="thin">
        <color rgb="FF000000" tint="0.39997558519241921"/>
      </right>
      <top style="thin">
        <color rgb="FF000000" tint="0.39997558519241921"/>
      </top>
      <bottom style="medium">
        <color indexed="64"/>
      </bottom>
      <diagonal/>
    </border>
    <border>
      <left style="thin">
        <color rgb="FF000000" tint="0.39997558519241921"/>
      </left>
      <right style="thin">
        <color rgb="FF000000" tint="0.39997558519241921"/>
      </right>
      <top style="thin">
        <color rgb="FF000000" tint="0.39997558519241921"/>
      </top>
      <bottom style="medium">
        <color indexed="64"/>
      </bottom>
      <diagonal/>
    </border>
    <border>
      <left style="thin">
        <color rgb="FF000000" tint="0.39997558519241921"/>
      </left>
      <right style="medium">
        <color indexed="64"/>
      </right>
      <top style="thin">
        <color rgb="FF000000" tint="0.39997558519241921"/>
      </top>
      <bottom style="medium">
        <color indexed="64"/>
      </bottom>
      <diagonal/>
    </border>
    <border>
      <left style="medium">
        <color indexed="64"/>
      </left>
      <right style="thin">
        <color rgb="FF000000" tint="0.39997558519241921"/>
      </right>
      <top style="medium">
        <color indexed="64"/>
      </top>
      <bottom style="thin">
        <color theme="4" tint="0.39997558519241921"/>
      </bottom>
      <diagonal/>
    </border>
    <border>
      <left style="thin">
        <color rgb="FF000000" tint="0.39997558519241921"/>
      </left>
      <right style="thin">
        <color rgb="FF000000" tint="0.39997558519241921"/>
      </right>
      <top style="medium">
        <color indexed="64"/>
      </top>
      <bottom style="thin">
        <color theme="4" tint="0.39997558519241921"/>
      </bottom>
      <diagonal/>
    </border>
    <border>
      <left style="thin">
        <color rgb="FF000000" tint="0.3999755851924192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/>
  </cellStyleXfs>
  <cellXfs count="3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4" fontId="4" fillId="0" borderId="0" xfId="0" applyNumberFormat="1" applyFont="1" applyAlignment="1">
      <alignment vertical="center" wrapText="1"/>
    </xf>
    <xf numFmtId="164" fontId="4" fillId="0" borderId="0" xfId="1" applyFont="1" applyAlignment="1">
      <alignment vertical="center" wrapText="1"/>
    </xf>
    <xf numFmtId="0" fontId="0" fillId="0" borderId="0" xfId="0" quotePrefix="1"/>
    <xf numFmtId="14" fontId="0" fillId="0" borderId="0" xfId="0" applyNumberFormat="1"/>
    <xf numFmtId="0" fontId="0" fillId="3" borderId="1" xfId="0" applyFill="1" applyBorder="1"/>
    <xf numFmtId="0" fontId="0" fillId="0" borderId="1" xfId="0" applyBorder="1"/>
    <xf numFmtId="0" fontId="5" fillId="4" borderId="1" xfId="0" applyFont="1" applyFill="1" applyBorder="1"/>
    <xf numFmtId="0" fontId="5" fillId="4" borderId="0" xfId="0" applyFont="1" applyFill="1"/>
    <xf numFmtId="0" fontId="0" fillId="0" borderId="3" xfId="0" applyBorder="1"/>
    <xf numFmtId="0" fontId="5" fillId="4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" borderId="16" xfId="0" applyFill="1" applyBorder="1"/>
    <xf numFmtId="0" fontId="0" fillId="3" borderId="17" xfId="0" applyFill="1" applyBorder="1"/>
    <xf numFmtId="0" fontId="0" fillId="3" borderId="14" xfId="0" applyFill="1" applyBorder="1"/>
    <xf numFmtId="0" fontId="0" fillId="5" borderId="0" xfId="0" applyFill="1"/>
    <xf numFmtId="0" fontId="6" fillId="0" borderId="18" xfId="0" applyFont="1" applyBorder="1" applyAlignment="1">
      <alignment horizontal="center"/>
    </xf>
    <xf numFmtId="0" fontId="7" fillId="6" borderId="0" xfId="0" applyFont="1" applyFill="1"/>
    <xf numFmtId="0" fontId="0" fillId="0" borderId="1" xfId="0" applyFill="1" applyBorder="1"/>
    <xf numFmtId="0" fontId="0" fillId="0" borderId="0" xfId="0" applyFill="1"/>
    <xf numFmtId="0" fontId="0" fillId="0" borderId="2" xfId="0" applyFill="1" applyBorder="1"/>
    <xf numFmtId="0" fontId="0" fillId="3" borderId="1" xfId="0" applyFont="1" applyFill="1" applyBorder="1"/>
    <xf numFmtId="0" fontId="0" fillId="3" borderId="1" xfId="0" applyNumberFormat="1" applyFill="1" applyBorder="1"/>
    <xf numFmtId="0" fontId="0" fillId="3" borderId="0" xfId="0" applyNumberFormat="1" applyFill="1"/>
    <xf numFmtId="0" fontId="0" fillId="3" borderId="0" xfId="0" applyNumberFormat="1" applyFill="1" applyBorder="1"/>
  </cellXfs>
  <cellStyles count="2">
    <cellStyle name="Moneda" xfId="1" builtinId="4"/>
    <cellStyle name="Normal" xfId="0" builtinId="0"/>
  </cellStyles>
  <dxfs count="26"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outline="0">
        <left style="thin">
          <color rgb="FF000000" tint="0.39997558519241921"/>
        </left>
        <right style="thin">
          <color rgb="FF000000" tint="0.39997558519241921"/>
        </right>
        <top style="thin">
          <color rgb="FF000000" tint="0.39997558519241921"/>
        </top>
        <bottom style="thin">
          <color rgb="FF000000" tint="0.39997558519241921"/>
        </bottom>
      </border>
    </dxf>
    <dxf>
      <numFmt numFmtId="0" formatCode="General"/>
      <fill>
        <patternFill patternType="none">
          <fgColor indexed="64"/>
          <bgColor auto="1"/>
        </patternFill>
      </fill>
      <border outline="0">
        <left style="thin">
          <color rgb="FF000000" tint="0.39997558519241921"/>
        </left>
        <right style="thin">
          <color rgb="FF000000" tint="0.39997558519241921"/>
        </right>
        <top style="thin">
          <color rgb="FF000000" tint="0.39997558519241921"/>
        </top>
        <bottom style="thin">
          <color rgb="FF000000" tint="0.39997558519241921"/>
        </bottom>
      </border>
    </dxf>
    <dxf>
      <fill>
        <patternFill patternType="none">
          <fgColor indexed="64"/>
          <bgColor auto="1"/>
        </patternFill>
      </fill>
      <border outline="0">
        <left style="thin">
          <color rgb="FF000000" tint="0.39997558519241921"/>
        </left>
        <right style="thin">
          <color rgb="FF000000" tint="0.39997558519241921"/>
        </right>
        <top style="thin">
          <color rgb="FF000000" tint="0.39997558519241921"/>
        </top>
        <bottom style="thin">
          <color rgb="FF000000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outline="0">
        <left style="thin">
          <color rgb="FF000000" tint="0.39997558519241921"/>
        </left>
        <right style="thin">
          <color rgb="FF000000" tint="0.39997558519241921"/>
        </right>
        <top style="thin">
          <color rgb="FF000000" tint="0.39997558519241921"/>
        </top>
        <bottom style="thin">
          <color rgb="FF000000" tint="0.39997558519241921"/>
        </bottom>
      </border>
    </dxf>
    <dxf>
      <font>
        <strike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fgColor indexed="64"/>
          <bgColor indexed="65"/>
        </patternFill>
      </fill>
      <alignment horizontal="general" vertical="center" wrapText="1"/>
    </dxf>
    <dxf>
      <font>
        <strike val="0"/>
        <outline val="0"/>
        <shadow val="0"/>
        <vertAlign val="baseline"/>
        <sz val="11"/>
        <color rgb="FF000000"/>
        <name val="Aptos Narrow"/>
        <family val="2"/>
        <scheme val="minor"/>
      </font>
      <fill>
        <patternFill>
          <fgColor indexed="64"/>
          <bgColor indexed="65"/>
        </patternFill>
      </fill>
      <alignment horizontal="general" vertical="center" wrapText="1"/>
    </dxf>
    <dxf>
      <font>
        <strike val="0"/>
        <outline val="0"/>
        <shadow val="0"/>
        <vertAlign val="baseline"/>
        <sz val="11"/>
        <color rgb="FF000000"/>
        <name val="Aptos Narrow"/>
        <family val="2"/>
        <scheme val="minor"/>
      </font>
      <numFmt numFmtId="19" formatCode="d/m/yyyy"/>
      <fill>
        <patternFill>
          <fgColor indexed="64"/>
          <bgColor indexed="65"/>
        </patternFill>
      </fill>
      <alignment horizontal="general" vertical="center" wrapText="1"/>
    </dxf>
    <dxf>
      <font>
        <strike val="0"/>
        <outline val="0"/>
        <shadow val="0"/>
        <vertAlign val="baseline"/>
        <sz val="11"/>
        <name val="Aptos Narrow"/>
        <family val="2"/>
        <scheme val="minor"/>
      </font>
      <fill>
        <patternFill>
          <fgColor indexed="64"/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  <fill>
        <patternFill>
          <fgColor indexed="64"/>
          <bgColor auto="1"/>
        </patternFill>
      </fill>
      <border>
        <left style="thin">
          <color rgb="FF000000" tint="0.39997558519241921"/>
        </left>
        <right style="thin">
          <color rgb="FF000000" tint="0.39997558519241921"/>
        </right>
        <top style="thin">
          <color rgb="FF000000" tint="0.39997558519241921"/>
        </top>
        <bottom style="thin">
          <color rgb="FF000000" tint="0.39997558519241921"/>
        </bottom>
      </border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  <border outline="0">
        <left style="thin">
          <color rgb="FF000000" tint="0.39997558519241921"/>
        </left>
        <right style="thin">
          <color rgb="FF000000" tint="0.39997558519241921"/>
        </right>
        <top style="thin">
          <color rgb="FF000000" tint="0.39997558519241921"/>
        </top>
        <bottom style="thin">
          <color rgb="FF000000" tint="0.39997558519241921"/>
        </bottom>
      </border>
    </dxf>
    <dxf>
      <fill>
        <patternFill>
          <fgColor indexed="64"/>
          <bgColor auto="1"/>
        </patternFill>
      </fill>
      <border outline="0">
        <left style="thin">
          <color rgb="FF000000" tint="0.39997558519241921"/>
        </left>
        <right style="thin">
          <color rgb="FF000000" tint="0.39997558519241921"/>
        </right>
        <top style="thin">
          <color rgb="FF000000" tint="0.39997558519241921"/>
        </top>
        <bottom style="thin">
          <color rgb="FF000000" tint="0.39997558519241921"/>
        </bottom>
      </border>
    </dxf>
    <dxf>
      <fill>
        <patternFill>
          <fgColor indexed="64"/>
          <bgColor auto="1"/>
        </patternFill>
      </fill>
      <border outline="0">
        <left style="thin">
          <color rgb="FF000000" tint="0.39997558519241921"/>
        </left>
        <right style="thin">
          <color rgb="FF000000" tint="0.39997558519241921"/>
        </right>
        <top style="thin">
          <color rgb="FF000000" tint="0.39997558519241921"/>
        </top>
        <bottom style="thin">
          <color rgb="FF000000" tint="0.39997558519241921"/>
        </bottom>
      </border>
    </dxf>
    <dxf>
      <fill>
        <patternFill>
          <fgColor indexed="64"/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theme="9" tint="-0.249977111117893"/>
        </patternFill>
      </fill>
      <border outline="0">
        <left style="thin">
          <color rgb="FF000000" tint="0.39997558519241921"/>
        </left>
        <right style="thin">
          <color rgb="FF000000" tint="0.39997558519241921"/>
        </right>
        <top/>
        <bottom/>
      </border>
    </dxf>
    <dxf>
      <numFmt numFmtId="0" formatCode="General"/>
      <fill>
        <patternFill>
          <fgColor indexed="64"/>
          <bgColor auto="1"/>
        </patternFill>
      </fill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OS"/>
      <sheetName val="CONTROL facturacion"/>
      <sheetName val="CONTROL CAC"/>
      <sheetName val="CONTROL BRIC"/>
      <sheetName val="CONTROL TALLER"/>
      <sheetName val="CALCULO SEDE"/>
      <sheetName val="Acumulado"/>
      <sheetName val="Tabla"/>
      <sheetName val="Hoja1"/>
      <sheetName val="GASTOS"/>
      <sheetName val="dato para la quincena"/>
      <sheetName val="RUBRO PROVEEDORES"/>
      <sheetName val="datos"/>
      <sheetName val="cambio del listado "/>
      <sheetName val="FACTURACION"/>
      <sheetName val="RANKING PROVEEDORES"/>
      <sheetName val="OP"/>
      <sheetName val="DB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ockup_TipComp" displayName="Loockup_TipComp" ref="A1:C61" totalsRowShown="0">
  <tableColumns count="3">
    <tableColumn id="1" xr3:uid="{00000000-0010-0000-0000-000001000000}" name="TIPO_COMPROBANTE" dataDxfId="12"/>
    <tableColumn id="2" xr3:uid="{00000000-0010-0000-0000-000002000000}" name="COEF"/>
    <tableColumn id="3" xr3:uid="{00000000-0010-0000-0000-000003000000}" name="ABREVIATURA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ockup_EquivDescrip" displayName="Loockup_EquivDescrip" ref="A1:B558" totalsRowShown="0">
  <autoFilter ref="A1:B558" xr:uid="{00000000-0009-0000-0100-000002000000}"/>
  <tableColumns count="2">
    <tableColumn id="1" xr3:uid="{00000000-0010-0000-0100-000001000000}" name="DESCRIPCION_OBRA_ORIGEN"/>
    <tableColumn id="2" xr3:uid="{00000000-0010-0000-0100-000002000000}" name="DESCRIPCION_OBRA_DESTINO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ockup_ObrasGerencia" displayName="Loockup_ObrasGerencia" ref="A1:E582" totalsRowShown="0" dataDxfId="0">
  <sortState xmlns:xlrd2="http://schemas.microsoft.com/office/spreadsheetml/2017/richdata2" ref="A2:E582">
    <sortCondition ref="B1:B582"/>
  </sortState>
  <tableColumns count="5">
    <tableColumn id="1" xr3:uid="{00000000-0010-0000-0200-000001000000}" name="DESCRIPCION_OBRA" dataDxfId="5"/>
    <tableColumn id="2" xr3:uid="{00000000-0010-0000-0200-000002000000}" name="OBRA_PRONTO" dataDxfId="4"/>
    <tableColumn id="12" xr3:uid="{00000000-0010-0000-0200-00000C000000}" name="COMPENSABLE" dataDxfId="3"/>
    <tableColumn id="8" xr3:uid="{00000000-0010-0000-0200-000008000000}" name="GERENCIA" dataDxfId="2">
      <calculatedColumnFormula array="1">UPPER(_xlfn.XLOOKUP(Loockup_ObrasGerencia[[#This Row],[OBRA_PRONTO]],Tabla7[[#All],[Obra]],Tabla7[[#All],[Gerente de obra]],"Sin Obra Asignada",0))</calculatedColumnFormula>
    </tableColumn>
    <tableColumn id="3" xr3:uid="{00000000-0010-0000-0200-000003000000}" name="aux" dataDxfId="1">
      <calculatedColumnFormula>Loockup_ObrasGerencia[[#This Row],[OBRA_PRONTO]]&amp;Loockup_ObrasGerencia[[#This Row],[GERENCIA]]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7" displayName="Tabla7" ref="H1:L573" totalsRowShown="0" dataDxfId="25">
  <sortState xmlns:xlrd2="http://schemas.microsoft.com/office/spreadsheetml/2017/richdata2" ref="H2:L573">
    <sortCondition ref="L1:L573"/>
  </sortState>
  <tableColumns count="5">
    <tableColumn id="1" xr3:uid="{00000000-0010-0000-0300-000001000000}" name="Obra" dataDxfId="24"/>
    <tableColumn id="2" xr3:uid="{00000000-0010-0000-0300-000002000000}" name="Descripcion obra" dataDxfId="23"/>
    <tableColumn id="3" xr3:uid="{00000000-0010-0000-0300-000003000000}" name="Gerente de obra" dataDxfId="22"/>
    <tableColumn id="4" xr3:uid="{00000000-0010-0000-0300-000004000000}" name="AUX" dataDxfId="21">
      <calculatedColumnFormula>Tabla7[[#This Row],[Obra]]&amp;Tabla7[[#This Row],[Gerente de obra]]</calculatedColumnFormula>
    </tableColumn>
    <tableColumn id="5" xr3:uid="{00000000-0010-0000-0300-000005000000}" name="VERIF" dataDxfId="20">
      <calculatedColumnFormula>MATCH(Tabla7[[#This Row],[AUX]],Loockup_ObrasGerencia[[#All],[aux]],0)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ERENCIAS" displayName="GERENCIAS" ref="R1:T567" totalsRowShown="0">
  <tableColumns count="3">
    <tableColumn id="1" xr3:uid="{00000000-0010-0000-0400-000001000000}" name="Obra"/>
    <tableColumn id="4" xr3:uid="{00000000-0010-0000-0400-000004000000}" name="Descripcion obra"/>
    <tableColumn id="3" xr3:uid="{00000000-0010-0000-0400-000003000000}" name="Gerente de obra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9" displayName="Tabla9" ref="W1:AA574" totalsRowShown="0" headerRowDxfId="19" dataDxfId="18">
  <sortState xmlns:xlrd2="http://schemas.microsoft.com/office/spreadsheetml/2017/richdata2" ref="W2:AA574">
    <sortCondition ref="AA1:AA574"/>
  </sortState>
  <tableColumns count="5">
    <tableColumn id="1" xr3:uid="{00000000-0010-0000-0500-000001000000}" name="Descripcion" dataDxfId="17"/>
    <tableColumn id="2" xr3:uid="{00000000-0010-0000-0500-000002000000}" name="Numero" dataDxfId="16"/>
    <tableColumn id="3" xr3:uid="{00000000-0010-0000-0500-000003000000}" name="Unidad operativa" dataDxfId="15"/>
    <tableColumn id="4" xr3:uid="{00000000-0010-0000-0500-000004000000}" name="AUX" dataDxfId="14">
      <calculatedColumnFormula>X2&amp;Y2</calculatedColumnFormula>
    </tableColumn>
    <tableColumn id="5" xr3:uid="{00000000-0010-0000-0500-000005000000}" name="VER" dataDxfId="13">
      <calculatedColumnFormula>MATCH(Tabla9[[#This Row],[AUX]],Loockup_ObrasGerencia[[#All],[aux]],0)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oockup_fuentes" displayName="Loockup_fuentes" ref="A1:B48" totalsRowShown="0">
  <autoFilter ref="A1:B48" xr:uid="{00000000-0009-0000-0100-000007000000}"/>
  <sortState xmlns:xlrd2="http://schemas.microsoft.com/office/spreadsheetml/2017/richdata2" ref="A2:B39">
    <sortCondition ref="A1:A40"/>
  </sortState>
  <tableColumns count="2">
    <tableColumn id="1" xr3:uid="{00000000-0010-0000-0600-000001000000}" name="FUENTE_ORIG"/>
    <tableColumn id="2" xr3:uid="{00000000-0010-0000-0600-000002000000}" name="FUENTE_INFOR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oockup_TipoCambio" displayName="Loockup_TipoCambio" ref="A1:C1689" totalsRowShown="0" headerRowDxfId="9">
  <tableColumns count="3">
    <tableColumn id="1" xr3:uid="{00000000-0010-0000-0700-000001000000}" name="Fecha" dataDxfId="8"/>
    <tableColumn id="2" xr3:uid="{00000000-0010-0000-0700-000002000000}" name="TC comprador" dataDxfId="7" dataCellStyle="Moneda"/>
    <tableColumn id="3" xr3:uid="{00000000-0010-0000-0700-000003000000}" name="TC Vendedor" dataDxfId="6" dataCellStyle="Moneda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oockup_Excepciones_Gerencia" displayName="Loockup_Excepciones_Gerencia" ref="A1:F3" totalsRowShown="0">
  <autoFilter ref="A1:F3" xr:uid="{00000000-0009-0000-0100-000009000000}"/>
  <tableColumns count="6">
    <tableColumn id="1" xr3:uid="{00000000-0010-0000-0800-000001000000}" name="OBRA_PRONTO "/>
    <tableColumn id="2" xr3:uid="{00000000-0010-0000-0800-000002000000}" name=" FECHA_DESDE "/>
    <tableColumn id="3" xr3:uid="{00000000-0010-0000-0800-000003000000}" name=" FECHA_HASTA "/>
    <tableColumn id="4" xr3:uid="{00000000-0010-0000-0800-000004000000}" name=" GERENCIA_OVERRIDE "/>
    <tableColumn id="5" xr3:uid="{00000000-0010-0000-0800-000005000000}" name=" ACTIVO "/>
    <tableColumn id="6" xr3:uid="{00000000-0010-0000-0800-000006000000}" name=" 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zoomScale="80" zoomScaleNormal="80" workbookViewId="0"/>
  </sheetViews>
  <sheetFormatPr baseColWidth="10" defaultRowHeight="15" x14ac:dyDescent="0.25"/>
  <cols>
    <col min="1" max="1" width="40.85546875" bestFit="1" customWidth="1"/>
    <col min="2" max="2" width="14" bestFit="1" customWidth="1"/>
    <col min="3" max="3" width="13.5703125" bestFit="1" customWidth="1"/>
    <col min="4" max="4" width="13" bestFit="1" customWidth="1"/>
    <col min="5" max="5" width="12.140625" bestFit="1" customWidth="1"/>
    <col min="6" max="6" width="12.28515625" bestFit="1" customWidth="1"/>
    <col min="7" max="7" width="12.7109375" bestFit="1" customWidth="1"/>
    <col min="8" max="8" width="13.5703125" bestFit="1" customWidth="1"/>
    <col min="9" max="9" width="13.42578125" bestFit="1" customWidth="1"/>
    <col min="10" max="11" width="15.5703125" bestFit="1" customWidth="1"/>
    <col min="12" max="12" width="15.85546875" bestFit="1" customWidth="1"/>
    <col min="13" max="13" width="15.5703125" bestFit="1" customWidth="1"/>
    <col min="14" max="15" width="17" bestFit="1" customWidth="1"/>
    <col min="16" max="16" width="17.28515625" bestFit="1" customWidth="1"/>
    <col min="17" max="19" width="17" bestFit="1" customWidth="1"/>
    <col min="20" max="20" width="17.28515625" bestFit="1" customWidth="1"/>
    <col min="21" max="21" width="17" bestFit="1" customWidth="1"/>
    <col min="22" max="22" width="15.7109375" bestFit="1" customWidth="1"/>
    <col min="23" max="23" width="20.7109375" bestFit="1" customWidth="1"/>
  </cols>
  <sheetData>
    <row r="1" spans="1:3" x14ac:dyDescent="0.25">
      <c r="A1" t="s">
        <v>1211</v>
      </c>
      <c r="B1" t="s">
        <v>1212</v>
      </c>
      <c r="C1" t="s">
        <v>1213</v>
      </c>
    </row>
    <row r="2" spans="1:3" x14ac:dyDescent="0.25">
      <c r="A2" t="s">
        <v>1214</v>
      </c>
      <c r="B2">
        <v>1</v>
      </c>
      <c r="C2" t="s">
        <v>1215</v>
      </c>
    </row>
    <row r="3" spans="1:3" x14ac:dyDescent="0.25">
      <c r="A3" t="s">
        <v>1216</v>
      </c>
      <c r="B3">
        <v>1</v>
      </c>
      <c r="C3" t="s">
        <v>1217</v>
      </c>
    </row>
    <row r="4" spans="1:3" x14ac:dyDescent="0.25">
      <c r="A4" t="s">
        <v>1218</v>
      </c>
      <c r="B4">
        <v>-1</v>
      </c>
      <c r="C4" t="s">
        <v>1219</v>
      </c>
    </row>
    <row r="5" spans="1:3" x14ac:dyDescent="0.25">
      <c r="A5" t="s">
        <v>1220</v>
      </c>
      <c r="B5">
        <v>1</v>
      </c>
      <c r="C5" t="s">
        <v>1221</v>
      </c>
    </row>
    <row r="6" spans="1:3" x14ac:dyDescent="0.25">
      <c r="A6" t="s">
        <v>1222</v>
      </c>
      <c r="B6">
        <v>1</v>
      </c>
      <c r="C6" t="s">
        <v>1223</v>
      </c>
    </row>
    <row r="7" spans="1:3" x14ac:dyDescent="0.25">
      <c r="A7" t="s">
        <v>1224</v>
      </c>
      <c r="B7">
        <v>1</v>
      </c>
      <c r="C7" t="s">
        <v>1225</v>
      </c>
    </row>
    <row r="8" spans="1:3" x14ac:dyDescent="0.25">
      <c r="A8" t="s">
        <v>1226</v>
      </c>
      <c r="B8">
        <v>1</v>
      </c>
      <c r="C8" t="s">
        <v>1227</v>
      </c>
    </row>
    <row r="9" spans="1:3" x14ac:dyDescent="0.25">
      <c r="A9" t="s">
        <v>1228</v>
      </c>
      <c r="B9">
        <v>1</v>
      </c>
      <c r="C9" t="s">
        <v>1229</v>
      </c>
    </row>
    <row r="10" spans="1:3" x14ac:dyDescent="0.25">
      <c r="A10" t="s">
        <v>1230</v>
      </c>
      <c r="B10">
        <v>1</v>
      </c>
      <c r="C10" t="s">
        <v>1231</v>
      </c>
    </row>
    <row r="11" spans="1:3" x14ac:dyDescent="0.25">
      <c r="A11" t="s">
        <v>1232</v>
      </c>
      <c r="B11">
        <v>1</v>
      </c>
      <c r="C11" t="s">
        <v>1233</v>
      </c>
    </row>
    <row r="12" spans="1:3" x14ac:dyDescent="0.25">
      <c r="A12" t="s">
        <v>1234</v>
      </c>
      <c r="B12">
        <v>1</v>
      </c>
      <c r="C12" t="s">
        <v>1235</v>
      </c>
    </row>
    <row r="13" spans="1:3" x14ac:dyDescent="0.25">
      <c r="A13" t="s">
        <v>1236</v>
      </c>
      <c r="B13">
        <v>1</v>
      </c>
      <c r="C13" t="s">
        <v>1237</v>
      </c>
    </row>
    <row r="14" spans="1:3" x14ac:dyDescent="0.25">
      <c r="A14" t="s">
        <v>1238</v>
      </c>
      <c r="B14">
        <v>-1</v>
      </c>
      <c r="C14" t="s">
        <v>1239</v>
      </c>
    </row>
    <row r="15" spans="1:3" x14ac:dyDescent="0.25">
      <c r="A15" t="s">
        <v>1240</v>
      </c>
      <c r="B15">
        <v>-1</v>
      </c>
      <c r="C15" t="s">
        <v>1241</v>
      </c>
    </row>
    <row r="16" spans="1:3" x14ac:dyDescent="0.25">
      <c r="A16" t="s">
        <v>1242</v>
      </c>
      <c r="B16">
        <v>1</v>
      </c>
      <c r="C16" t="s">
        <v>1243</v>
      </c>
    </row>
    <row r="17" spans="1:3" x14ac:dyDescent="0.25">
      <c r="A17" t="s">
        <v>1244</v>
      </c>
      <c r="B17">
        <v>1</v>
      </c>
      <c r="C17" t="s">
        <v>1245</v>
      </c>
    </row>
    <row r="18" spans="1:3" x14ac:dyDescent="0.25">
      <c r="A18" t="s">
        <v>1246</v>
      </c>
      <c r="B18">
        <v>1</v>
      </c>
      <c r="C18" t="s">
        <v>1247</v>
      </c>
    </row>
    <row r="19" spans="1:3" x14ac:dyDescent="0.25">
      <c r="A19" t="s">
        <v>1248</v>
      </c>
      <c r="B19">
        <v>1</v>
      </c>
      <c r="C19" t="s">
        <v>1249</v>
      </c>
    </row>
    <row r="20" spans="1:3" x14ac:dyDescent="0.25">
      <c r="A20" t="s">
        <v>1250</v>
      </c>
      <c r="B20">
        <v>1</v>
      </c>
      <c r="C20" t="s">
        <v>1251</v>
      </c>
    </row>
    <row r="21" spans="1:3" x14ac:dyDescent="0.25">
      <c r="A21" t="s">
        <v>1252</v>
      </c>
      <c r="B21">
        <v>1</v>
      </c>
      <c r="C21" t="s">
        <v>1253</v>
      </c>
    </row>
    <row r="22" spans="1:3" x14ac:dyDescent="0.25">
      <c r="A22" t="s">
        <v>1254</v>
      </c>
      <c r="B22">
        <v>-1</v>
      </c>
      <c r="C22" t="s">
        <v>1255</v>
      </c>
    </row>
    <row r="23" spans="1:3" x14ac:dyDescent="0.25">
      <c r="A23" t="s">
        <v>1256</v>
      </c>
      <c r="B23">
        <v>-1</v>
      </c>
      <c r="C23" t="s">
        <v>1257</v>
      </c>
    </row>
    <row r="24" spans="1:3" x14ac:dyDescent="0.25">
      <c r="A24" t="s">
        <v>1258</v>
      </c>
      <c r="B24">
        <v>1</v>
      </c>
      <c r="C24" t="s">
        <v>1259</v>
      </c>
    </row>
    <row r="25" spans="1:3" x14ac:dyDescent="0.25">
      <c r="A25" t="s">
        <v>1260</v>
      </c>
      <c r="B25">
        <v>1</v>
      </c>
      <c r="C25" t="s">
        <v>1261</v>
      </c>
    </row>
    <row r="26" spans="1:3" x14ac:dyDescent="0.25">
      <c r="A26" t="s">
        <v>1262</v>
      </c>
      <c r="B26">
        <v>1</v>
      </c>
      <c r="C26" t="s">
        <v>1263</v>
      </c>
    </row>
    <row r="27" spans="1:3" x14ac:dyDescent="0.25">
      <c r="A27" t="s">
        <v>1264</v>
      </c>
      <c r="B27">
        <v>1</v>
      </c>
      <c r="C27" t="s">
        <v>1265</v>
      </c>
    </row>
    <row r="28" spans="1:3" x14ac:dyDescent="0.25">
      <c r="A28" t="s">
        <v>1266</v>
      </c>
      <c r="B28">
        <v>1</v>
      </c>
      <c r="C28" t="s">
        <v>1267</v>
      </c>
    </row>
    <row r="29" spans="1:3" x14ac:dyDescent="0.25">
      <c r="A29" t="s">
        <v>1268</v>
      </c>
      <c r="B29">
        <v>1</v>
      </c>
      <c r="C29" t="s">
        <v>1269</v>
      </c>
    </row>
    <row r="30" spans="1:3" x14ac:dyDescent="0.25">
      <c r="A30" t="s">
        <v>1270</v>
      </c>
      <c r="B30">
        <v>1</v>
      </c>
      <c r="C30" t="s">
        <v>1271</v>
      </c>
    </row>
    <row r="31" spans="1:3" x14ac:dyDescent="0.25">
      <c r="A31" t="s">
        <v>1272</v>
      </c>
      <c r="B31">
        <v>1</v>
      </c>
      <c r="C31" t="s">
        <v>1273</v>
      </c>
    </row>
    <row r="32" spans="1:3" x14ac:dyDescent="0.25">
      <c r="A32" t="s">
        <v>1274</v>
      </c>
      <c r="B32">
        <v>1</v>
      </c>
      <c r="C32" t="s">
        <v>1275</v>
      </c>
    </row>
    <row r="33" spans="1:3" x14ac:dyDescent="0.25">
      <c r="A33" t="s">
        <v>1276</v>
      </c>
      <c r="B33">
        <v>1</v>
      </c>
      <c r="C33" t="s">
        <v>1277</v>
      </c>
    </row>
    <row r="34" spans="1:3" x14ac:dyDescent="0.25">
      <c r="A34" t="s">
        <v>1278</v>
      </c>
      <c r="B34">
        <v>-1</v>
      </c>
      <c r="C34" t="s">
        <v>1279</v>
      </c>
    </row>
    <row r="35" spans="1:3" x14ac:dyDescent="0.25">
      <c r="A35" t="s">
        <v>1280</v>
      </c>
      <c r="B35">
        <v>1</v>
      </c>
      <c r="C35" t="s">
        <v>1281</v>
      </c>
    </row>
    <row r="36" spans="1:3" x14ac:dyDescent="0.25">
      <c r="A36" t="s">
        <v>1282</v>
      </c>
      <c r="B36">
        <v>1</v>
      </c>
      <c r="C36" t="s">
        <v>1283</v>
      </c>
    </row>
    <row r="37" spans="1:3" x14ac:dyDescent="0.25">
      <c r="A37" t="s">
        <v>1284</v>
      </c>
      <c r="B37">
        <v>1</v>
      </c>
      <c r="C37" t="s">
        <v>1285</v>
      </c>
    </row>
    <row r="38" spans="1:3" x14ac:dyDescent="0.25">
      <c r="A38" t="s">
        <v>1286</v>
      </c>
      <c r="B38">
        <v>-1</v>
      </c>
      <c r="C38" t="s">
        <v>1287</v>
      </c>
    </row>
    <row r="39" spans="1:3" x14ac:dyDescent="0.25">
      <c r="A39" t="s">
        <v>1288</v>
      </c>
      <c r="B39">
        <v>-1</v>
      </c>
      <c r="C39" t="s">
        <v>1289</v>
      </c>
    </row>
    <row r="40" spans="1:3" x14ac:dyDescent="0.25">
      <c r="A40" t="s">
        <v>1290</v>
      </c>
      <c r="B40">
        <v>-1</v>
      </c>
      <c r="C40" t="s">
        <v>1291</v>
      </c>
    </row>
    <row r="41" spans="1:3" x14ac:dyDescent="0.25">
      <c r="A41" t="s">
        <v>1292</v>
      </c>
      <c r="B41">
        <v>1</v>
      </c>
      <c r="C41" t="s">
        <v>1293</v>
      </c>
    </row>
    <row r="42" spans="1:3" x14ac:dyDescent="0.25">
      <c r="A42" t="s">
        <v>1294</v>
      </c>
      <c r="B42">
        <v>1</v>
      </c>
      <c r="C42" t="s">
        <v>1295</v>
      </c>
    </row>
    <row r="43" spans="1:3" x14ac:dyDescent="0.25">
      <c r="A43" t="s">
        <v>1296</v>
      </c>
      <c r="B43">
        <v>1</v>
      </c>
      <c r="C43" t="s">
        <v>1297</v>
      </c>
    </row>
    <row r="44" spans="1:3" x14ac:dyDescent="0.25">
      <c r="A44" t="s">
        <v>1298</v>
      </c>
      <c r="B44">
        <v>1</v>
      </c>
      <c r="C44" t="s">
        <v>1299</v>
      </c>
    </row>
    <row r="45" spans="1:3" x14ac:dyDescent="0.25">
      <c r="A45" t="s">
        <v>1300</v>
      </c>
      <c r="B45">
        <v>1</v>
      </c>
      <c r="C45" t="s">
        <v>1301</v>
      </c>
    </row>
    <row r="46" spans="1:3" x14ac:dyDescent="0.25">
      <c r="A46" t="s">
        <v>1302</v>
      </c>
      <c r="B46">
        <v>-1</v>
      </c>
      <c r="C46" t="s">
        <v>1303</v>
      </c>
    </row>
    <row r="47" spans="1:3" x14ac:dyDescent="0.25">
      <c r="A47" t="s">
        <v>1304</v>
      </c>
      <c r="B47">
        <v>1</v>
      </c>
      <c r="C47" t="s">
        <v>1305</v>
      </c>
    </row>
    <row r="48" spans="1:3" x14ac:dyDescent="0.25">
      <c r="A48" t="s">
        <v>1306</v>
      </c>
      <c r="B48">
        <v>1</v>
      </c>
      <c r="C48" t="s">
        <v>1307</v>
      </c>
    </row>
    <row r="49" spans="1:3" x14ac:dyDescent="0.25">
      <c r="A49" t="s">
        <v>1308</v>
      </c>
      <c r="B49">
        <v>1</v>
      </c>
      <c r="C49" t="s">
        <v>1309</v>
      </c>
    </row>
    <row r="50" spans="1:3" x14ac:dyDescent="0.25">
      <c r="A50" t="s">
        <v>1310</v>
      </c>
      <c r="B50">
        <v>1</v>
      </c>
      <c r="C50" t="s">
        <v>1311</v>
      </c>
    </row>
    <row r="51" spans="1:3" x14ac:dyDescent="0.25">
      <c r="A51" t="s">
        <v>1312</v>
      </c>
      <c r="B51">
        <v>1</v>
      </c>
      <c r="C51" t="s">
        <v>1313</v>
      </c>
    </row>
    <row r="52" spans="1:3" x14ac:dyDescent="0.25">
      <c r="A52" t="s">
        <v>1314</v>
      </c>
      <c r="B52">
        <v>1</v>
      </c>
      <c r="C52" t="s">
        <v>1315</v>
      </c>
    </row>
    <row r="53" spans="1:3" x14ac:dyDescent="0.25">
      <c r="A53" t="s">
        <v>1316</v>
      </c>
      <c r="B53">
        <v>1</v>
      </c>
      <c r="C53" t="s">
        <v>1317</v>
      </c>
    </row>
    <row r="54" spans="1:3" x14ac:dyDescent="0.25">
      <c r="A54" t="s">
        <v>1318</v>
      </c>
      <c r="B54">
        <v>1</v>
      </c>
      <c r="C54" t="s">
        <v>1319</v>
      </c>
    </row>
    <row r="55" spans="1:3" x14ac:dyDescent="0.25">
      <c r="A55" t="s">
        <v>1320</v>
      </c>
      <c r="B55">
        <v>-1</v>
      </c>
      <c r="C55" t="s">
        <v>1321</v>
      </c>
    </row>
    <row r="56" spans="1:3" x14ac:dyDescent="0.25">
      <c r="A56" t="s">
        <v>1322</v>
      </c>
      <c r="B56">
        <v>1</v>
      </c>
      <c r="C56" t="s">
        <v>1323</v>
      </c>
    </row>
    <row r="57" spans="1:3" x14ac:dyDescent="0.25">
      <c r="A57" t="s">
        <v>1324</v>
      </c>
      <c r="B57">
        <v>1</v>
      </c>
      <c r="C57" t="s">
        <v>1325</v>
      </c>
    </row>
    <row r="58" spans="1:3" x14ac:dyDescent="0.25">
      <c r="A58" t="s">
        <v>1326</v>
      </c>
      <c r="B58">
        <v>1</v>
      </c>
      <c r="C58" t="s">
        <v>1327</v>
      </c>
    </row>
    <row r="59" spans="1:3" x14ac:dyDescent="0.25">
      <c r="A59" t="s">
        <v>1328</v>
      </c>
      <c r="B59">
        <v>1</v>
      </c>
      <c r="C59" t="s">
        <v>1329</v>
      </c>
    </row>
    <row r="60" spans="1:3" x14ac:dyDescent="0.25">
      <c r="A60" t="s">
        <v>1330</v>
      </c>
      <c r="B60">
        <v>1</v>
      </c>
      <c r="C60" t="s">
        <v>1331</v>
      </c>
    </row>
    <row r="61" spans="1:3" x14ac:dyDescent="0.25">
      <c r="A61" t="s">
        <v>1332</v>
      </c>
      <c r="B61">
        <v>1</v>
      </c>
      <c r="C61" t="s">
        <v>1333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8"/>
  <sheetViews>
    <sheetView zoomScale="80" zoomScaleNormal="80" workbookViewId="0">
      <pane ySplit="1" topLeftCell="A2" activePane="bottomLeft" state="frozen"/>
      <selection activeCell="A420" sqref="A420"/>
      <selection pane="bottomLeft"/>
    </sheetView>
  </sheetViews>
  <sheetFormatPr baseColWidth="10" defaultRowHeight="15" x14ac:dyDescent="0.25"/>
  <cols>
    <col min="1" max="1" width="88.85546875" customWidth="1"/>
    <col min="2" max="2" width="101" bestFit="1" customWidth="1"/>
  </cols>
  <sheetData>
    <row r="1" spans="1:2" x14ac:dyDescent="0.25">
      <c r="A1" t="s">
        <v>1334</v>
      </c>
      <c r="B1" t="s">
        <v>1335</v>
      </c>
    </row>
    <row r="2" spans="1:2" x14ac:dyDescent="0.25">
      <c r="A2" t="s">
        <v>15</v>
      </c>
      <c r="B2" t="s">
        <v>15</v>
      </c>
    </row>
    <row r="3" spans="1:2" x14ac:dyDescent="0.25">
      <c r="A3" t="s">
        <v>20</v>
      </c>
      <c r="B3" t="s">
        <v>20</v>
      </c>
    </row>
    <row r="4" spans="1:2" x14ac:dyDescent="0.25">
      <c r="A4" t="s">
        <v>22</v>
      </c>
      <c r="B4" t="s">
        <v>22</v>
      </c>
    </row>
    <row r="5" spans="1:2" x14ac:dyDescent="0.25">
      <c r="A5" t="s">
        <v>26</v>
      </c>
      <c r="B5" t="s">
        <v>26</v>
      </c>
    </row>
    <row r="6" spans="1:2" x14ac:dyDescent="0.25">
      <c r="A6" t="s">
        <v>31</v>
      </c>
      <c r="B6" t="s">
        <v>31</v>
      </c>
    </row>
    <row r="7" spans="1:2" x14ac:dyDescent="0.25">
      <c r="A7" t="s">
        <v>36</v>
      </c>
      <c r="B7" t="s">
        <v>36</v>
      </c>
    </row>
    <row r="8" spans="1:2" x14ac:dyDescent="0.25">
      <c r="A8" t="s">
        <v>38</v>
      </c>
      <c r="B8" t="s">
        <v>38</v>
      </c>
    </row>
    <row r="9" spans="1:2" x14ac:dyDescent="0.25">
      <c r="A9" t="s">
        <v>40</v>
      </c>
      <c r="B9" t="s">
        <v>40</v>
      </c>
    </row>
    <row r="10" spans="1:2" x14ac:dyDescent="0.25">
      <c r="A10" t="s">
        <v>42</v>
      </c>
      <c r="B10" t="s">
        <v>42</v>
      </c>
    </row>
    <row r="11" spans="1:2" x14ac:dyDescent="0.25">
      <c r="A11" t="s">
        <v>44</v>
      </c>
      <c r="B11" t="s">
        <v>44</v>
      </c>
    </row>
    <row r="12" spans="1:2" x14ac:dyDescent="0.25">
      <c r="A12" t="s">
        <v>46</v>
      </c>
      <c r="B12" t="s">
        <v>46</v>
      </c>
    </row>
    <row r="13" spans="1:2" x14ac:dyDescent="0.25">
      <c r="A13" t="s">
        <v>48</v>
      </c>
      <c r="B13" t="s">
        <v>48</v>
      </c>
    </row>
    <row r="14" spans="1:2" x14ac:dyDescent="0.25">
      <c r="A14" t="s">
        <v>50</v>
      </c>
      <c r="B14" t="s">
        <v>50</v>
      </c>
    </row>
    <row r="15" spans="1:2" x14ac:dyDescent="0.25">
      <c r="A15" t="s">
        <v>54</v>
      </c>
      <c r="B15" t="s">
        <v>54</v>
      </c>
    </row>
    <row r="16" spans="1:2" x14ac:dyDescent="0.25">
      <c r="A16" t="s">
        <v>56</v>
      </c>
      <c r="B16" t="s">
        <v>56</v>
      </c>
    </row>
    <row r="17" spans="1:2" x14ac:dyDescent="0.25">
      <c r="A17" t="s">
        <v>58</v>
      </c>
      <c r="B17" t="s">
        <v>58</v>
      </c>
    </row>
    <row r="18" spans="1:2" x14ac:dyDescent="0.25">
      <c r="A18" t="s">
        <v>60</v>
      </c>
      <c r="B18" t="s">
        <v>60</v>
      </c>
    </row>
    <row r="19" spans="1:2" x14ac:dyDescent="0.25">
      <c r="A19" t="s">
        <v>62</v>
      </c>
      <c r="B19" t="s">
        <v>62</v>
      </c>
    </row>
    <row r="20" spans="1:2" x14ac:dyDescent="0.25">
      <c r="A20" t="s">
        <v>67</v>
      </c>
      <c r="B20" t="s">
        <v>67</v>
      </c>
    </row>
    <row r="21" spans="1:2" x14ac:dyDescent="0.25">
      <c r="A21" t="s">
        <v>71</v>
      </c>
      <c r="B21" t="s">
        <v>71</v>
      </c>
    </row>
    <row r="22" spans="1:2" x14ac:dyDescent="0.25">
      <c r="A22" t="s">
        <v>73</v>
      </c>
      <c r="B22" t="s">
        <v>73</v>
      </c>
    </row>
    <row r="23" spans="1:2" x14ac:dyDescent="0.25">
      <c r="A23" t="s">
        <v>75</v>
      </c>
      <c r="B23" t="s">
        <v>75</v>
      </c>
    </row>
    <row r="24" spans="1:2" x14ac:dyDescent="0.25">
      <c r="A24" t="s">
        <v>77</v>
      </c>
      <c r="B24" t="s">
        <v>77</v>
      </c>
    </row>
    <row r="25" spans="1:2" x14ac:dyDescent="0.25">
      <c r="A25" t="s">
        <v>82</v>
      </c>
      <c r="B25" t="s">
        <v>82</v>
      </c>
    </row>
    <row r="26" spans="1:2" x14ac:dyDescent="0.25">
      <c r="A26" t="s">
        <v>81</v>
      </c>
      <c r="B26" t="s">
        <v>81</v>
      </c>
    </row>
    <row r="27" spans="1:2" x14ac:dyDescent="0.25">
      <c r="A27" t="s">
        <v>85</v>
      </c>
      <c r="B27" t="s">
        <v>85</v>
      </c>
    </row>
    <row r="28" spans="1:2" x14ac:dyDescent="0.25">
      <c r="A28" t="s">
        <v>87</v>
      </c>
      <c r="B28" t="s">
        <v>87</v>
      </c>
    </row>
    <row r="29" spans="1:2" x14ac:dyDescent="0.25">
      <c r="A29" t="s">
        <v>89</v>
      </c>
      <c r="B29" t="s">
        <v>89</v>
      </c>
    </row>
    <row r="30" spans="1:2" x14ac:dyDescent="0.25">
      <c r="A30" t="s">
        <v>91</v>
      </c>
      <c r="B30" t="s">
        <v>91</v>
      </c>
    </row>
    <row r="31" spans="1:2" x14ac:dyDescent="0.25">
      <c r="A31" t="s">
        <v>93</v>
      </c>
      <c r="B31" t="s">
        <v>93</v>
      </c>
    </row>
    <row r="32" spans="1:2" x14ac:dyDescent="0.25">
      <c r="A32" t="s">
        <v>95</v>
      </c>
      <c r="B32" t="s">
        <v>95</v>
      </c>
    </row>
    <row r="33" spans="1:2" x14ac:dyDescent="0.25">
      <c r="A33" t="s">
        <v>97</v>
      </c>
      <c r="B33" t="s">
        <v>97</v>
      </c>
    </row>
    <row r="34" spans="1:2" x14ac:dyDescent="0.25">
      <c r="A34" t="s">
        <v>99</v>
      </c>
      <c r="B34" t="s">
        <v>99</v>
      </c>
    </row>
    <row r="35" spans="1:2" x14ac:dyDescent="0.25">
      <c r="A35" t="s">
        <v>101</v>
      </c>
      <c r="B35" t="s">
        <v>101</v>
      </c>
    </row>
    <row r="36" spans="1:2" x14ac:dyDescent="0.25">
      <c r="A36" t="s">
        <v>103</v>
      </c>
      <c r="B36" t="s">
        <v>103</v>
      </c>
    </row>
    <row r="37" spans="1:2" x14ac:dyDescent="0.25">
      <c r="A37" t="s">
        <v>105</v>
      </c>
      <c r="B37" t="s">
        <v>105</v>
      </c>
    </row>
    <row r="38" spans="1:2" x14ac:dyDescent="0.25">
      <c r="A38" t="s">
        <v>107</v>
      </c>
      <c r="B38" t="s">
        <v>107</v>
      </c>
    </row>
    <row r="39" spans="1:2" x14ac:dyDescent="0.25">
      <c r="A39" t="s">
        <v>109</v>
      </c>
      <c r="B39" t="s">
        <v>109</v>
      </c>
    </row>
    <row r="40" spans="1:2" x14ac:dyDescent="0.25">
      <c r="A40" t="s">
        <v>111</v>
      </c>
      <c r="B40" t="s">
        <v>111</v>
      </c>
    </row>
    <row r="41" spans="1:2" x14ac:dyDescent="0.25">
      <c r="A41" t="s">
        <v>113</v>
      </c>
      <c r="B41" t="s">
        <v>113</v>
      </c>
    </row>
    <row r="42" spans="1:2" x14ac:dyDescent="0.25">
      <c r="A42" t="s">
        <v>115</v>
      </c>
      <c r="B42" t="s">
        <v>115</v>
      </c>
    </row>
    <row r="43" spans="1:2" x14ac:dyDescent="0.25">
      <c r="A43" t="s">
        <v>117</v>
      </c>
      <c r="B43" t="s">
        <v>117</v>
      </c>
    </row>
    <row r="44" spans="1:2" x14ac:dyDescent="0.25">
      <c r="A44" t="s">
        <v>119</v>
      </c>
      <c r="B44" t="s">
        <v>119</v>
      </c>
    </row>
    <row r="45" spans="1:2" x14ac:dyDescent="0.25">
      <c r="A45" t="s">
        <v>124</v>
      </c>
      <c r="B45" t="s">
        <v>124</v>
      </c>
    </row>
    <row r="46" spans="1:2" x14ac:dyDescent="0.25">
      <c r="A46" t="s">
        <v>121</v>
      </c>
      <c r="B46" t="s">
        <v>121</v>
      </c>
    </row>
    <row r="47" spans="1:2" x14ac:dyDescent="0.25">
      <c r="A47" t="s">
        <v>123</v>
      </c>
      <c r="B47" t="s">
        <v>123</v>
      </c>
    </row>
    <row r="48" spans="1:2" x14ac:dyDescent="0.25">
      <c r="A48" t="s">
        <v>127</v>
      </c>
      <c r="B48" t="s">
        <v>127</v>
      </c>
    </row>
    <row r="49" spans="1:2" x14ac:dyDescent="0.25">
      <c r="A49" t="s">
        <v>135</v>
      </c>
      <c r="B49" t="s">
        <v>135</v>
      </c>
    </row>
    <row r="50" spans="1:2" x14ac:dyDescent="0.25">
      <c r="A50" t="s">
        <v>129</v>
      </c>
      <c r="B50" t="s">
        <v>129</v>
      </c>
    </row>
    <row r="51" spans="1:2" x14ac:dyDescent="0.25">
      <c r="A51" t="s">
        <v>131</v>
      </c>
      <c r="B51" t="s">
        <v>131</v>
      </c>
    </row>
    <row r="52" spans="1:2" x14ac:dyDescent="0.25">
      <c r="A52" t="s">
        <v>134</v>
      </c>
      <c r="B52" t="s">
        <v>134</v>
      </c>
    </row>
    <row r="53" spans="1:2" x14ac:dyDescent="0.25">
      <c r="A53" t="s">
        <v>146</v>
      </c>
      <c r="B53" t="s">
        <v>146</v>
      </c>
    </row>
    <row r="54" spans="1:2" x14ac:dyDescent="0.25">
      <c r="A54" t="s">
        <v>150</v>
      </c>
      <c r="B54" t="s">
        <v>150</v>
      </c>
    </row>
    <row r="55" spans="1:2" x14ac:dyDescent="0.25">
      <c r="A55" t="s">
        <v>138</v>
      </c>
      <c r="B55" t="s">
        <v>138</v>
      </c>
    </row>
    <row r="56" spans="1:2" x14ac:dyDescent="0.25">
      <c r="A56" t="s">
        <v>140</v>
      </c>
      <c r="B56" s="1" t="s">
        <v>140</v>
      </c>
    </row>
    <row r="57" spans="1:2" x14ac:dyDescent="0.25">
      <c r="A57" t="s">
        <v>143</v>
      </c>
      <c r="B57" t="s">
        <v>143</v>
      </c>
    </row>
    <row r="58" spans="1:2" x14ac:dyDescent="0.25">
      <c r="A58" t="s">
        <v>145</v>
      </c>
      <c r="B58" s="1" t="s">
        <v>145</v>
      </c>
    </row>
    <row r="59" spans="1:2" x14ac:dyDescent="0.25">
      <c r="A59" t="s">
        <v>149</v>
      </c>
      <c r="B59" t="s">
        <v>149</v>
      </c>
    </row>
    <row r="60" spans="1:2" x14ac:dyDescent="0.25">
      <c r="A60" t="s">
        <v>164</v>
      </c>
      <c r="B60" t="s">
        <v>164</v>
      </c>
    </row>
    <row r="61" spans="1:2" x14ac:dyDescent="0.25">
      <c r="A61" t="s">
        <v>153</v>
      </c>
      <c r="B61" t="s">
        <v>153</v>
      </c>
    </row>
    <row r="62" spans="1:2" x14ac:dyDescent="0.25">
      <c r="A62" t="s">
        <v>155</v>
      </c>
      <c r="B62" t="s">
        <v>155</v>
      </c>
    </row>
    <row r="63" spans="1:2" x14ac:dyDescent="0.25">
      <c r="A63" t="s">
        <v>171</v>
      </c>
      <c r="B63" t="s">
        <v>171</v>
      </c>
    </row>
    <row r="64" spans="1:2" x14ac:dyDescent="0.25">
      <c r="A64" t="s">
        <v>157</v>
      </c>
      <c r="B64" t="s">
        <v>157</v>
      </c>
    </row>
    <row r="65" spans="1:2" x14ac:dyDescent="0.25">
      <c r="A65" t="s">
        <v>159</v>
      </c>
      <c r="B65" t="s">
        <v>159</v>
      </c>
    </row>
    <row r="66" spans="1:2" x14ac:dyDescent="0.25">
      <c r="A66" t="s">
        <v>161</v>
      </c>
      <c r="B66" t="s">
        <v>161</v>
      </c>
    </row>
    <row r="67" spans="1:2" x14ac:dyDescent="0.25">
      <c r="A67" t="s">
        <v>163</v>
      </c>
      <c r="B67" t="s">
        <v>163</v>
      </c>
    </row>
    <row r="68" spans="1:2" x14ac:dyDescent="0.25">
      <c r="A68" t="s">
        <v>167</v>
      </c>
      <c r="B68" t="s">
        <v>167</v>
      </c>
    </row>
    <row r="69" spans="1:2" x14ac:dyDescent="0.25">
      <c r="A69" t="s">
        <v>169</v>
      </c>
      <c r="B69" t="s">
        <v>169</v>
      </c>
    </row>
    <row r="70" spans="1:2" x14ac:dyDescent="0.25">
      <c r="A70" t="s">
        <v>173</v>
      </c>
      <c r="B70" t="s">
        <v>173</v>
      </c>
    </row>
    <row r="71" spans="1:2" x14ac:dyDescent="0.25">
      <c r="A71" t="s">
        <v>175</v>
      </c>
      <c r="B71" s="1" t="s">
        <v>175</v>
      </c>
    </row>
    <row r="72" spans="1:2" x14ac:dyDescent="0.25">
      <c r="A72" t="s">
        <v>194</v>
      </c>
      <c r="B72" t="s">
        <v>194</v>
      </c>
    </row>
    <row r="73" spans="1:2" x14ac:dyDescent="0.25">
      <c r="A73" t="s">
        <v>177</v>
      </c>
      <c r="B73" t="s">
        <v>177</v>
      </c>
    </row>
    <row r="74" spans="1:2" x14ac:dyDescent="0.25">
      <c r="A74" t="s">
        <v>180</v>
      </c>
      <c r="B74" t="s">
        <v>180</v>
      </c>
    </row>
    <row r="75" spans="1:2" x14ac:dyDescent="0.25">
      <c r="A75" t="s">
        <v>182</v>
      </c>
      <c r="B75" t="s">
        <v>182</v>
      </c>
    </row>
    <row r="76" spans="1:2" x14ac:dyDescent="0.25">
      <c r="A76" t="s">
        <v>184</v>
      </c>
      <c r="B76" t="s">
        <v>184</v>
      </c>
    </row>
    <row r="77" spans="1:2" x14ac:dyDescent="0.25">
      <c r="A77" t="s">
        <v>186</v>
      </c>
      <c r="B77" t="s">
        <v>186</v>
      </c>
    </row>
    <row r="78" spans="1:2" x14ac:dyDescent="0.25">
      <c r="A78" t="s">
        <v>188</v>
      </c>
      <c r="B78" t="s">
        <v>188</v>
      </c>
    </row>
    <row r="79" spans="1:2" x14ac:dyDescent="0.25">
      <c r="A79" t="s">
        <v>190</v>
      </c>
      <c r="B79" t="s">
        <v>190</v>
      </c>
    </row>
    <row r="80" spans="1:2" x14ac:dyDescent="0.25">
      <c r="A80" t="s">
        <v>193</v>
      </c>
      <c r="B80" t="s">
        <v>193</v>
      </c>
    </row>
    <row r="81" spans="1:2" x14ac:dyDescent="0.25">
      <c r="A81" t="s">
        <v>197</v>
      </c>
      <c r="B81" t="s">
        <v>197</v>
      </c>
    </row>
    <row r="82" spans="1:2" x14ac:dyDescent="0.25">
      <c r="A82" t="s">
        <v>199</v>
      </c>
      <c r="B82" t="s">
        <v>199</v>
      </c>
    </row>
    <row r="83" spans="1:2" x14ac:dyDescent="0.25">
      <c r="A83" t="s">
        <v>201</v>
      </c>
      <c r="B83" t="s">
        <v>201</v>
      </c>
    </row>
    <row r="84" spans="1:2" x14ac:dyDescent="0.25">
      <c r="A84" t="s">
        <v>203</v>
      </c>
      <c r="B84" t="s">
        <v>203</v>
      </c>
    </row>
    <row r="85" spans="1:2" x14ac:dyDescent="0.25">
      <c r="A85" t="s">
        <v>205</v>
      </c>
      <c r="B85" t="s">
        <v>205</v>
      </c>
    </row>
    <row r="86" spans="1:2" x14ac:dyDescent="0.25">
      <c r="A86" t="s">
        <v>207</v>
      </c>
      <c r="B86" t="s">
        <v>207</v>
      </c>
    </row>
    <row r="87" spans="1:2" x14ac:dyDescent="0.25">
      <c r="A87" t="s">
        <v>209</v>
      </c>
      <c r="B87" t="s">
        <v>209</v>
      </c>
    </row>
    <row r="88" spans="1:2" x14ac:dyDescent="0.25">
      <c r="A88" t="s">
        <v>211</v>
      </c>
      <c r="B88" t="s">
        <v>211</v>
      </c>
    </row>
    <row r="89" spans="1:2" x14ac:dyDescent="0.25">
      <c r="A89" t="s">
        <v>213</v>
      </c>
      <c r="B89" t="s">
        <v>213</v>
      </c>
    </row>
    <row r="90" spans="1:2" x14ac:dyDescent="0.25">
      <c r="A90" t="s">
        <v>215</v>
      </c>
      <c r="B90" t="s">
        <v>215</v>
      </c>
    </row>
    <row r="91" spans="1:2" x14ac:dyDescent="0.25">
      <c r="A91" t="s">
        <v>217</v>
      </c>
      <c r="B91" t="s">
        <v>217</v>
      </c>
    </row>
    <row r="92" spans="1:2" x14ac:dyDescent="0.25">
      <c r="A92" t="s">
        <v>219</v>
      </c>
      <c r="B92" t="s">
        <v>219</v>
      </c>
    </row>
    <row r="93" spans="1:2" x14ac:dyDescent="0.25">
      <c r="A93" t="s">
        <v>221</v>
      </c>
      <c r="B93" t="s">
        <v>221</v>
      </c>
    </row>
    <row r="94" spans="1:2" x14ac:dyDescent="0.25">
      <c r="A94" t="s">
        <v>223</v>
      </c>
      <c r="B94" t="s">
        <v>223</v>
      </c>
    </row>
    <row r="95" spans="1:2" x14ac:dyDescent="0.25">
      <c r="A95" t="s">
        <v>225</v>
      </c>
      <c r="B95" s="1" t="s">
        <v>225</v>
      </c>
    </row>
    <row r="96" spans="1:2" x14ac:dyDescent="0.25">
      <c r="A96" t="s">
        <v>228</v>
      </c>
      <c r="B96" t="s">
        <v>228</v>
      </c>
    </row>
    <row r="97" spans="1:2" x14ac:dyDescent="0.25">
      <c r="A97" t="s">
        <v>230</v>
      </c>
      <c r="B97" t="s">
        <v>230</v>
      </c>
    </row>
    <row r="98" spans="1:2" x14ac:dyDescent="0.25">
      <c r="A98" t="s">
        <v>232</v>
      </c>
      <c r="B98" t="s">
        <v>232</v>
      </c>
    </row>
    <row r="99" spans="1:2" x14ac:dyDescent="0.25">
      <c r="A99" t="s">
        <v>252</v>
      </c>
      <c r="B99" t="s">
        <v>252</v>
      </c>
    </row>
    <row r="100" spans="1:2" x14ac:dyDescent="0.25">
      <c r="A100" t="s">
        <v>256</v>
      </c>
      <c r="B100" t="s">
        <v>256</v>
      </c>
    </row>
    <row r="101" spans="1:2" x14ac:dyDescent="0.25">
      <c r="A101" t="s">
        <v>260</v>
      </c>
      <c r="B101" t="s">
        <v>260</v>
      </c>
    </row>
    <row r="102" spans="1:2" x14ac:dyDescent="0.25">
      <c r="A102" t="s">
        <v>234</v>
      </c>
      <c r="B102" t="s">
        <v>234</v>
      </c>
    </row>
    <row r="103" spans="1:2" x14ac:dyDescent="0.25">
      <c r="A103" t="s">
        <v>236</v>
      </c>
      <c r="B103" t="s">
        <v>236</v>
      </c>
    </row>
    <row r="104" spans="1:2" x14ac:dyDescent="0.25">
      <c r="A104" t="s">
        <v>238</v>
      </c>
      <c r="B104" t="s">
        <v>238</v>
      </c>
    </row>
    <row r="105" spans="1:2" x14ac:dyDescent="0.25">
      <c r="A105" t="s">
        <v>242</v>
      </c>
      <c r="B105" t="s">
        <v>242</v>
      </c>
    </row>
    <row r="106" spans="1:2" x14ac:dyDescent="0.25">
      <c r="A106" t="s">
        <v>245</v>
      </c>
      <c r="B106" t="s">
        <v>245</v>
      </c>
    </row>
    <row r="107" spans="1:2" x14ac:dyDescent="0.25">
      <c r="A107" t="s">
        <v>248</v>
      </c>
      <c r="B107" t="s">
        <v>248</v>
      </c>
    </row>
    <row r="108" spans="1:2" x14ac:dyDescent="0.25">
      <c r="A108" t="s">
        <v>250</v>
      </c>
      <c r="B108" t="s">
        <v>250</v>
      </c>
    </row>
    <row r="109" spans="1:2" x14ac:dyDescent="0.25">
      <c r="A109" t="s">
        <v>254</v>
      </c>
      <c r="B109" t="s">
        <v>254</v>
      </c>
    </row>
    <row r="110" spans="1:2" x14ac:dyDescent="0.25">
      <c r="A110" t="s">
        <v>258</v>
      </c>
      <c r="B110" t="s">
        <v>258</v>
      </c>
    </row>
    <row r="111" spans="1:2" x14ac:dyDescent="0.25">
      <c r="A111" t="s">
        <v>262</v>
      </c>
      <c r="B111" t="s">
        <v>262</v>
      </c>
    </row>
    <row r="112" spans="1:2" x14ac:dyDescent="0.25">
      <c r="A112" t="s">
        <v>264</v>
      </c>
      <c r="B112" t="s">
        <v>264</v>
      </c>
    </row>
    <row r="113" spans="1:2" x14ac:dyDescent="0.25">
      <c r="A113" t="s">
        <v>266</v>
      </c>
      <c r="B113" t="s">
        <v>266</v>
      </c>
    </row>
    <row r="114" spans="1:2" x14ac:dyDescent="0.25">
      <c r="A114" t="s">
        <v>269</v>
      </c>
      <c r="B114" t="s">
        <v>269</v>
      </c>
    </row>
    <row r="115" spans="1:2" x14ac:dyDescent="0.25">
      <c r="A115" t="s">
        <v>295</v>
      </c>
      <c r="B115" t="s">
        <v>295</v>
      </c>
    </row>
    <row r="116" spans="1:2" x14ac:dyDescent="0.25">
      <c r="A116" t="s">
        <v>299</v>
      </c>
      <c r="B116" t="s">
        <v>299</v>
      </c>
    </row>
    <row r="117" spans="1:2" x14ac:dyDescent="0.25">
      <c r="A117" t="s">
        <v>273</v>
      </c>
      <c r="B117" t="s">
        <v>273</v>
      </c>
    </row>
    <row r="118" spans="1:2" x14ac:dyDescent="0.25">
      <c r="A118" t="s">
        <v>275</v>
      </c>
      <c r="B118" t="s">
        <v>275</v>
      </c>
    </row>
    <row r="119" spans="1:2" x14ac:dyDescent="0.25">
      <c r="A119" t="s">
        <v>277</v>
      </c>
      <c r="B119" t="s">
        <v>277</v>
      </c>
    </row>
    <row r="120" spans="1:2" x14ac:dyDescent="0.25">
      <c r="A120" t="s">
        <v>279</v>
      </c>
      <c r="B120" t="s">
        <v>279</v>
      </c>
    </row>
    <row r="121" spans="1:2" x14ac:dyDescent="0.25">
      <c r="A121" t="s">
        <v>281</v>
      </c>
      <c r="B121" t="s">
        <v>281</v>
      </c>
    </row>
    <row r="122" spans="1:2" x14ac:dyDescent="0.25">
      <c r="A122" t="s">
        <v>283</v>
      </c>
      <c r="B122" t="s">
        <v>283</v>
      </c>
    </row>
    <row r="123" spans="1:2" x14ac:dyDescent="0.25">
      <c r="A123" t="s">
        <v>286</v>
      </c>
      <c r="B123" t="s">
        <v>286</v>
      </c>
    </row>
    <row r="124" spans="1:2" x14ac:dyDescent="0.25">
      <c r="A124" t="s">
        <v>289</v>
      </c>
      <c r="B124" t="s">
        <v>289</v>
      </c>
    </row>
    <row r="125" spans="1:2" x14ac:dyDescent="0.25">
      <c r="A125" t="s">
        <v>319</v>
      </c>
      <c r="B125" t="s">
        <v>319</v>
      </c>
    </row>
    <row r="126" spans="1:2" x14ac:dyDescent="0.25">
      <c r="A126" t="s">
        <v>291</v>
      </c>
      <c r="B126" t="s">
        <v>291</v>
      </c>
    </row>
    <row r="127" spans="1:2" x14ac:dyDescent="0.25">
      <c r="A127" t="s">
        <v>293</v>
      </c>
      <c r="B127" t="s">
        <v>293</v>
      </c>
    </row>
    <row r="128" spans="1:2" x14ac:dyDescent="0.25">
      <c r="A128" t="s">
        <v>297</v>
      </c>
      <c r="B128" t="s">
        <v>297</v>
      </c>
    </row>
    <row r="129" spans="1:2" x14ac:dyDescent="0.25">
      <c r="A129" t="s">
        <v>329</v>
      </c>
      <c r="B129" t="s">
        <v>329</v>
      </c>
    </row>
    <row r="130" spans="1:2" x14ac:dyDescent="0.25">
      <c r="A130" t="s">
        <v>301</v>
      </c>
      <c r="B130" t="s">
        <v>301</v>
      </c>
    </row>
    <row r="131" spans="1:2" x14ac:dyDescent="0.25">
      <c r="A131" t="s">
        <v>303</v>
      </c>
      <c r="B131" t="s">
        <v>303</v>
      </c>
    </row>
    <row r="132" spans="1:2" x14ac:dyDescent="0.25">
      <c r="A132" t="s">
        <v>305</v>
      </c>
      <c r="B132" t="s">
        <v>305</v>
      </c>
    </row>
    <row r="133" spans="1:2" x14ac:dyDescent="0.25">
      <c r="A133" t="s">
        <v>307</v>
      </c>
      <c r="B133" t="s">
        <v>307</v>
      </c>
    </row>
    <row r="134" spans="1:2" x14ac:dyDescent="0.25">
      <c r="A134" t="s">
        <v>309</v>
      </c>
      <c r="B134" t="s">
        <v>309</v>
      </c>
    </row>
    <row r="135" spans="1:2" x14ac:dyDescent="0.25">
      <c r="A135" t="s">
        <v>311</v>
      </c>
      <c r="B135" t="s">
        <v>311</v>
      </c>
    </row>
    <row r="136" spans="1:2" x14ac:dyDescent="0.25">
      <c r="A136" t="s">
        <v>313</v>
      </c>
      <c r="B136" t="s">
        <v>313</v>
      </c>
    </row>
    <row r="137" spans="1:2" x14ac:dyDescent="0.25">
      <c r="A137" t="s">
        <v>315</v>
      </c>
      <c r="B137" t="s">
        <v>315</v>
      </c>
    </row>
    <row r="138" spans="1:2" x14ac:dyDescent="0.25">
      <c r="A138" t="s">
        <v>317</v>
      </c>
      <c r="B138" t="s">
        <v>317</v>
      </c>
    </row>
    <row r="139" spans="1:2" x14ac:dyDescent="0.25">
      <c r="A139" t="s">
        <v>321</v>
      </c>
      <c r="B139" t="s">
        <v>321</v>
      </c>
    </row>
    <row r="140" spans="1:2" x14ac:dyDescent="0.25">
      <c r="A140" t="s">
        <v>323</v>
      </c>
      <c r="B140" t="s">
        <v>323</v>
      </c>
    </row>
    <row r="141" spans="1:2" x14ac:dyDescent="0.25">
      <c r="A141" t="s">
        <v>355</v>
      </c>
      <c r="B141" t="s">
        <v>355</v>
      </c>
    </row>
    <row r="142" spans="1:2" x14ac:dyDescent="0.25">
      <c r="A142" t="s">
        <v>325</v>
      </c>
      <c r="B142" t="s">
        <v>325</v>
      </c>
    </row>
    <row r="143" spans="1:2" x14ac:dyDescent="0.25">
      <c r="A143" t="s">
        <v>327</v>
      </c>
      <c r="B143" t="s">
        <v>327</v>
      </c>
    </row>
    <row r="144" spans="1:2" x14ac:dyDescent="0.25">
      <c r="A144" t="s">
        <v>331</v>
      </c>
      <c r="B144" t="s">
        <v>331</v>
      </c>
    </row>
    <row r="145" spans="1:2" x14ac:dyDescent="0.25">
      <c r="A145" t="s">
        <v>333</v>
      </c>
      <c r="B145" t="s">
        <v>333</v>
      </c>
    </row>
    <row r="146" spans="1:2" x14ac:dyDescent="0.25">
      <c r="A146" t="s">
        <v>335</v>
      </c>
      <c r="B146" t="s">
        <v>335</v>
      </c>
    </row>
    <row r="147" spans="1:2" x14ac:dyDescent="0.25">
      <c r="A147" t="s">
        <v>337</v>
      </c>
      <c r="B147" t="s">
        <v>337</v>
      </c>
    </row>
    <row r="148" spans="1:2" x14ac:dyDescent="0.25">
      <c r="A148" t="s">
        <v>339</v>
      </c>
      <c r="B148" t="s">
        <v>339</v>
      </c>
    </row>
    <row r="149" spans="1:2" x14ac:dyDescent="0.25">
      <c r="A149" t="s">
        <v>341</v>
      </c>
      <c r="B149" t="s">
        <v>341</v>
      </c>
    </row>
    <row r="150" spans="1:2" x14ac:dyDescent="0.25">
      <c r="A150" t="s">
        <v>343</v>
      </c>
      <c r="B150" t="s">
        <v>343</v>
      </c>
    </row>
    <row r="151" spans="1:2" x14ac:dyDescent="0.25">
      <c r="A151" t="s">
        <v>345</v>
      </c>
      <c r="B151" s="1" t="s">
        <v>345</v>
      </c>
    </row>
    <row r="152" spans="1:2" x14ac:dyDescent="0.25">
      <c r="A152" t="s">
        <v>347</v>
      </c>
      <c r="B152" t="s">
        <v>347</v>
      </c>
    </row>
    <row r="153" spans="1:2" x14ac:dyDescent="0.25">
      <c r="A153" t="s">
        <v>349</v>
      </c>
      <c r="B153" s="1" t="s">
        <v>349</v>
      </c>
    </row>
    <row r="154" spans="1:2" x14ac:dyDescent="0.25">
      <c r="A154" t="s">
        <v>351</v>
      </c>
      <c r="B154" t="s">
        <v>351</v>
      </c>
    </row>
    <row r="155" spans="1:2" x14ac:dyDescent="0.25">
      <c r="A155" t="s">
        <v>353</v>
      </c>
      <c r="B155" t="s">
        <v>353</v>
      </c>
    </row>
    <row r="156" spans="1:2" x14ac:dyDescent="0.25">
      <c r="A156" t="s">
        <v>357</v>
      </c>
      <c r="B156" s="1" t="s">
        <v>357</v>
      </c>
    </row>
    <row r="157" spans="1:2" x14ac:dyDescent="0.25">
      <c r="A157" t="s">
        <v>359</v>
      </c>
      <c r="B157" t="s">
        <v>359</v>
      </c>
    </row>
    <row r="158" spans="1:2" x14ac:dyDescent="0.25">
      <c r="A158" t="s">
        <v>361</v>
      </c>
      <c r="B158" t="s">
        <v>361</v>
      </c>
    </row>
    <row r="159" spans="1:2" x14ac:dyDescent="0.25">
      <c r="A159" t="s">
        <v>363</v>
      </c>
      <c r="B159" t="s">
        <v>363</v>
      </c>
    </row>
    <row r="160" spans="1:2" x14ac:dyDescent="0.25">
      <c r="A160" t="s">
        <v>365</v>
      </c>
      <c r="B160" t="s">
        <v>365</v>
      </c>
    </row>
    <row r="161" spans="1:2" x14ac:dyDescent="0.25">
      <c r="A161" t="s">
        <v>367</v>
      </c>
      <c r="B161" t="s">
        <v>367</v>
      </c>
    </row>
    <row r="162" spans="1:2" x14ac:dyDescent="0.25">
      <c r="A162" t="s">
        <v>370</v>
      </c>
      <c r="B162" t="s">
        <v>370</v>
      </c>
    </row>
    <row r="163" spans="1:2" x14ac:dyDescent="0.25">
      <c r="A163" t="s">
        <v>372</v>
      </c>
      <c r="B163" s="1" t="s">
        <v>372</v>
      </c>
    </row>
    <row r="164" spans="1:2" x14ac:dyDescent="0.25">
      <c r="A164" t="s">
        <v>374</v>
      </c>
      <c r="B164" t="s">
        <v>374</v>
      </c>
    </row>
    <row r="165" spans="1:2" x14ac:dyDescent="0.25">
      <c r="A165" t="s">
        <v>376</v>
      </c>
      <c r="B165" t="s">
        <v>376</v>
      </c>
    </row>
    <row r="166" spans="1:2" x14ac:dyDescent="0.25">
      <c r="A166" t="s">
        <v>378</v>
      </c>
      <c r="B166" t="s">
        <v>378</v>
      </c>
    </row>
    <row r="167" spans="1:2" x14ac:dyDescent="0.25">
      <c r="A167" t="s">
        <v>380</v>
      </c>
      <c r="B167" t="s">
        <v>380</v>
      </c>
    </row>
    <row r="168" spans="1:2" x14ac:dyDescent="0.25">
      <c r="A168" t="s">
        <v>382</v>
      </c>
      <c r="B168" t="s">
        <v>382</v>
      </c>
    </row>
    <row r="169" spans="1:2" x14ac:dyDescent="0.25">
      <c r="A169" t="s">
        <v>384</v>
      </c>
      <c r="B169" t="s">
        <v>384</v>
      </c>
    </row>
    <row r="170" spans="1:2" x14ac:dyDescent="0.25">
      <c r="A170" t="s">
        <v>386</v>
      </c>
      <c r="B170" t="s">
        <v>386</v>
      </c>
    </row>
    <row r="171" spans="1:2" x14ac:dyDescent="0.25">
      <c r="A171" t="s">
        <v>388</v>
      </c>
      <c r="B171" t="s">
        <v>388</v>
      </c>
    </row>
    <row r="172" spans="1:2" x14ac:dyDescent="0.25">
      <c r="A172" t="s">
        <v>390</v>
      </c>
      <c r="B172" t="s">
        <v>390</v>
      </c>
    </row>
    <row r="173" spans="1:2" x14ac:dyDescent="0.25">
      <c r="A173" t="s">
        <v>392</v>
      </c>
      <c r="B173" t="s">
        <v>392</v>
      </c>
    </row>
    <row r="174" spans="1:2" x14ac:dyDescent="0.25">
      <c r="A174" t="s">
        <v>394</v>
      </c>
      <c r="B174" t="s">
        <v>394</v>
      </c>
    </row>
    <row r="175" spans="1:2" x14ac:dyDescent="0.25">
      <c r="A175" t="s">
        <v>396</v>
      </c>
      <c r="B175" t="s">
        <v>396</v>
      </c>
    </row>
    <row r="176" spans="1:2" x14ac:dyDescent="0.25">
      <c r="A176" t="s">
        <v>399</v>
      </c>
      <c r="B176" t="s">
        <v>399</v>
      </c>
    </row>
    <row r="177" spans="1:2" x14ac:dyDescent="0.25">
      <c r="A177" t="s">
        <v>401</v>
      </c>
      <c r="B177" t="s">
        <v>401</v>
      </c>
    </row>
    <row r="178" spans="1:2" x14ac:dyDescent="0.25">
      <c r="A178" t="s">
        <v>403</v>
      </c>
      <c r="B178" t="s">
        <v>403</v>
      </c>
    </row>
    <row r="179" spans="1:2" x14ac:dyDescent="0.25">
      <c r="A179" t="s">
        <v>405</v>
      </c>
      <c r="B179" t="s">
        <v>405</v>
      </c>
    </row>
    <row r="180" spans="1:2" x14ac:dyDescent="0.25">
      <c r="A180" t="s">
        <v>407</v>
      </c>
      <c r="B180" t="s">
        <v>407</v>
      </c>
    </row>
    <row r="181" spans="1:2" x14ac:dyDescent="0.25">
      <c r="A181" t="s">
        <v>409</v>
      </c>
      <c r="B181" t="s">
        <v>409</v>
      </c>
    </row>
    <row r="182" spans="1:2" x14ac:dyDescent="0.25">
      <c r="A182" t="s">
        <v>411</v>
      </c>
      <c r="B182" t="s">
        <v>411</v>
      </c>
    </row>
    <row r="183" spans="1:2" x14ac:dyDescent="0.25">
      <c r="A183" t="s">
        <v>413</v>
      </c>
      <c r="B183" t="s">
        <v>413</v>
      </c>
    </row>
    <row r="184" spans="1:2" x14ac:dyDescent="0.25">
      <c r="A184" t="s">
        <v>415</v>
      </c>
      <c r="B184" t="s">
        <v>415</v>
      </c>
    </row>
    <row r="185" spans="1:2" x14ac:dyDescent="0.25">
      <c r="A185" t="s">
        <v>417</v>
      </c>
      <c r="B185" t="s">
        <v>417</v>
      </c>
    </row>
    <row r="186" spans="1:2" x14ac:dyDescent="0.25">
      <c r="A186" t="s">
        <v>419</v>
      </c>
      <c r="B186" t="s">
        <v>419</v>
      </c>
    </row>
    <row r="187" spans="1:2" x14ac:dyDescent="0.25">
      <c r="A187" t="s">
        <v>421</v>
      </c>
      <c r="B187" t="s">
        <v>421</v>
      </c>
    </row>
    <row r="188" spans="1:2" x14ac:dyDescent="0.25">
      <c r="A188" t="s">
        <v>424</v>
      </c>
      <c r="B188" t="s">
        <v>424</v>
      </c>
    </row>
    <row r="189" spans="1:2" x14ac:dyDescent="0.25">
      <c r="A189" t="s">
        <v>426</v>
      </c>
      <c r="B189" t="s">
        <v>426</v>
      </c>
    </row>
    <row r="190" spans="1:2" x14ac:dyDescent="0.25">
      <c r="A190" t="s">
        <v>428</v>
      </c>
      <c r="B190" t="s">
        <v>428</v>
      </c>
    </row>
    <row r="191" spans="1:2" x14ac:dyDescent="0.25">
      <c r="A191" t="s">
        <v>430</v>
      </c>
      <c r="B191" t="s">
        <v>430</v>
      </c>
    </row>
    <row r="192" spans="1:2" x14ac:dyDescent="0.25">
      <c r="A192" t="s">
        <v>432</v>
      </c>
      <c r="B192" t="s">
        <v>432</v>
      </c>
    </row>
    <row r="193" spans="1:2" x14ac:dyDescent="0.25">
      <c r="A193" t="s">
        <v>434</v>
      </c>
      <c r="B193" t="s">
        <v>434</v>
      </c>
    </row>
    <row r="194" spans="1:2" x14ac:dyDescent="0.25">
      <c r="A194" t="s">
        <v>436</v>
      </c>
      <c r="B194" t="s">
        <v>436</v>
      </c>
    </row>
    <row r="195" spans="1:2" x14ac:dyDescent="0.25">
      <c r="A195" t="s">
        <v>438</v>
      </c>
      <c r="B195" t="s">
        <v>438</v>
      </c>
    </row>
    <row r="196" spans="1:2" x14ac:dyDescent="0.25">
      <c r="A196" t="s">
        <v>440</v>
      </c>
      <c r="B196" t="s">
        <v>440</v>
      </c>
    </row>
    <row r="197" spans="1:2" x14ac:dyDescent="0.25">
      <c r="A197" t="s">
        <v>442</v>
      </c>
      <c r="B197" t="s">
        <v>442</v>
      </c>
    </row>
    <row r="198" spans="1:2" x14ac:dyDescent="0.25">
      <c r="A198" t="s">
        <v>478</v>
      </c>
      <c r="B198" t="s">
        <v>478</v>
      </c>
    </row>
    <row r="199" spans="1:2" x14ac:dyDescent="0.25">
      <c r="A199" t="s">
        <v>444</v>
      </c>
      <c r="B199" t="s">
        <v>444</v>
      </c>
    </row>
    <row r="200" spans="1:2" x14ac:dyDescent="0.25">
      <c r="A200" t="s">
        <v>446</v>
      </c>
      <c r="B200" t="s">
        <v>446</v>
      </c>
    </row>
    <row r="201" spans="1:2" x14ac:dyDescent="0.25">
      <c r="A201" t="s">
        <v>448</v>
      </c>
      <c r="B201" t="s">
        <v>448</v>
      </c>
    </row>
    <row r="202" spans="1:2" x14ac:dyDescent="0.25">
      <c r="A202" t="s">
        <v>450</v>
      </c>
      <c r="B202" t="s">
        <v>450</v>
      </c>
    </row>
    <row r="203" spans="1:2" x14ac:dyDescent="0.25">
      <c r="A203" t="s">
        <v>453</v>
      </c>
      <c r="B203" t="s">
        <v>453</v>
      </c>
    </row>
    <row r="204" spans="1:2" x14ac:dyDescent="0.25">
      <c r="A204" t="s">
        <v>455</v>
      </c>
      <c r="B204" t="s">
        <v>455</v>
      </c>
    </row>
    <row r="205" spans="1:2" x14ac:dyDescent="0.25">
      <c r="A205" t="s">
        <v>457</v>
      </c>
      <c r="B205" t="s">
        <v>457</v>
      </c>
    </row>
    <row r="206" spans="1:2" x14ac:dyDescent="0.25">
      <c r="A206" t="s">
        <v>459</v>
      </c>
      <c r="B206" t="s">
        <v>459</v>
      </c>
    </row>
    <row r="207" spans="1:2" x14ac:dyDescent="0.25">
      <c r="A207" t="s">
        <v>461</v>
      </c>
      <c r="B207" t="s">
        <v>461</v>
      </c>
    </row>
    <row r="208" spans="1:2" x14ac:dyDescent="0.25">
      <c r="A208" t="s">
        <v>463</v>
      </c>
      <c r="B208" t="s">
        <v>463</v>
      </c>
    </row>
    <row r="209" spans="1:2" x14ac:dyDescent="0.25">
      <c r="A209" t="s">
        <v>465</v>
      </c>
      <c r="B209" t="s">
        <v>465</v>
      </c>
    </row>
    <row r="210" spans="1:2" x14ac:dyDescent="0.25">
      <c r="A210" t="s">
        <v>467</v>
      </c>
      <c r="B210" t="s">
        <v>467</v>
      </c>
    </row>
    <row r="211" spans="1:2" x14ac:dyDescent="0.25">
      <c r="A211" t="s">
        <v>469</v>
      </c>
      <c r="B211" t="s">
        <v>469</v>
      </c>
    </row>
    <row r="212" spans="1:2" x14ac:dyDescent="0.25">
      <c r="A212" t="s">
        <v>471</v>
      </c>
      <c r="B212" t="s">
        <v>471</v>
      </c>
    </row>
    <row r="213" spans="1:2" x14ac:dyDescent="0.25">
      <c r="A213" t="s">
        <v>473</v>
      </c>
      <c r="B213" t="s">
        <v>473</v>
      </c>
    </row>
    <row r="214" spans="1:2" x14ac:dyDescent="0.25">
      <c r="A214" t="s">
        <v>475</v>
      </c>
      <c r="B214" t="s">
        <v>475</v>
      </c>
    </row>
    <row r="215" spans="1:2" x14ac:dyDescent="0.25">
      <c r="A215" t="s">
        <v>477</v>
      </c>
      <c r="B215" t="s">
        <v>477</v>
      </c>
    </row>
    <row r="216" spans="1:2" x14ac:dyDescent="0.25">
      <c r="A216" t="s">
        <v>481</v>
      </c>
      <c r="B216" t="s">
        <v>481</v>
      </c>
    </row>
    <row r="217" spans="1:2" x14ac:dyDescent="0.25">
      <c r="A217" t="s">
        <v>483</v>
      </c>
      <c r="B217" t="s">
        <v>483</v>
      </c>
    </row>
    <row r="218" spans="1:2" x14ac:dyDescent="0.25">
      <c r="A218" t="s">
        <v>485</v>
      </c>
      <c r="B218" t="s">
        <v>485</v>
      </c>
    </row>
    <row r="219" spans="1:2" x14ac:dyDescent="0.25">
      <c r="A219" t="s">
        <v>487</v>
      </c>
      <c r="B219" t="s">
        <v>487</v>
      </c>
    </row>
    <row r="220" spans="1:2" x14ac:dyDescent="0.25">
      <c r="A220" t="s">
        <v>489</v>
      </c>
      <c r="B220" t="s">
        <v>489</v>
      </c>
    </row>
    <row r="221" spans="1:2" x14ac:dyDescent="0.25">
      <c r="A221" t="s">
        <v>491</v>
      </c>
      <c r="B221" t="s">
        <v>491</v>
      </c>
    </row>
    <row r="222" spans="1:2" x14ac:dyDescent="0.25">
      <c r="A222" t="s">
        <v>493</v>
      </c>
      <c r="B222" t="s">
        <v>493</v>
      </c>
    </row>
    <row r="223" spans="1:2" x14ac:dyDescent="0.25">
      <c r="A223" t="s">
        <v>495</v>
      </c>
      <c r="B223" t="s">
        <v>495</v>
      </c>
    </row>
    <row r="224" spans="1:2" x14ac:dyDescent="0.25">
      <c r="A224" t="s">
        <v>497</v>
      </c>
      <c r="B224" t="s">
        <v>497</v>
      </c>
    </row>
    <row r="225" spans="1:2" x14ac:dyDescent="0.25">
      <c r="A225" t="s">
        <v>499</v>
      </c>
      <c r="B225" t="s">
        <v>499</v>
      </c>
    </row>
    <row r="226" spans="1:2" x14ac:dyDescent="0.25">
      <c r="A226" t="s">
        <v>501</v>
      </c>
      <c r="B226" t="s">
        <v>501</v>
      </c>
    </row>
    <row r="227" spans="1:2" x14ac:dyDescent="0.25">
      <c r="A227" t="s">
        <v>503</v>
      </c>
      <c r="B227" t="s">
        <v>503</v>
      </c>
    </row>
    <row r="228" spans="1:2" x14ac:dyDescent="0.25">
      <c r="A228" t="s">
        <v>505</v>
      </c>
      <c r="B228" t="s">
        <v>505</v>
      </c>
    </row>
    <row r="229" spans="1:2" x14ac:dyDescent="0.25">
      <c r="A229" t="s">
        <v>507</v>
      </c>
      <c r="B229" t="s">
        <v>507</v>
      </c>
    </row>
    <row r="230" spans="1:2" x14ac:dyDescent="0.25">
      <c r="A230" t="s">
        <v>509</v>
      </c>
      <c r="B230" t="s">
        <v>509</v>
      </c>
    </row>
    <row r="231" spans="1:2" x14ac:dyDescent="0.25">
      <c r="A231" t="s">
        <v>511</v>
      </c>
      <c r="B231" t="s">
        <v>511</v>
      </c>
    </row>
    <row r="232" spans="1:2" x14ac:dyDescent="0.25">
      <c r="A232" t="s">
        <v>513</v>
      </c>
      <c r="B232" t="s">
        <v>513</v>
      </c>
    </row>
    <row r="233" spans="1:2" x14ac:dyDescent="0.25">
      <c r="A233" t="s">
        <v>515</v>
      </c>
      <c r="B233" t="s">
        <v>515</v>
      </c>
    </row>
    <row r="234" spans="1:2" x14ac:dyDescent="0.25">
      <c r="A234" t="s">
        <v>517</v>
      </c>
      <c r="B234" t="s">
        <v>517</v>
      </c>
    </row>
    <row r="235" spans="1:2" x14ac:dyDescent="0.25">
      <c r="A235" t="s">
        <v>519</v>
      </c>
      <c r="B235" t="s">
        <v>519</v>
      </c>
    </row>
    <row r="236" spans="1:2" x14ac:dyDescent="0.25">
      <c r="A236" t="s">
        <v>521</v>
      </c>
      <c r="B236" t="s">
        <v>521</v>
      </c>
    </row>
    <row r="237" spans="1:2" x14ac:dyDescent="0.25">
      <c r="A237" t="s">
        <v>523</v>
      </c>
      <c r="B237" t="s">
        <v>523</v>
      </c>
    </row>
    <row r="238" spans="1:2" x14ac:dyDescent="0.25">
      <c r="A238" t="s">
        <v>525</v>
      </c>
      <c r="B238" t="s">
        <v>525</v>
      </c>
    </row>
    <row r="239" spans="1:2" x14ac:dyDescent="0.25">
      <c r="A239" t="s">
        <v>527</v>
      </c>
      <c r="B239" t="s">
        <v>527</v>
      </c>
    </row>
    <row r="240" spans="1:2" x14ac:dyDescent="0.25">
      <c r="A240" t="s">
        <v>529</v>
      </c>
      <c r="B240" t="s">
        <v>529</v>
      </c>
    </row>
    <row r="241" spans="1:2" x14ac:dyDescent="0.25">
      <c r="A241" t="s">
        <v>531</v>
      </c>
      <c r="B241" t="s">
        <v>531</v>
      </c>
    </row>
    <row r="242" spans="1:2" x14ac:dyDescent="0.25">
      <c r="A242" t="s">
        <v>533</v>
      </c>
      <c r="B242" t="s">
        <v>533</v>
      </c>
    </row>
    <row r="243" spans="1:2" x14ac:dyDescent="0.25">
      <c r="A243" t="s">
        <v>535</v>
      </c>
      <c r="B243" t="s">
        <v>535</v>
      </c>
    </row>
    <row r="244" spans="1:2" x14ac:dyDescent="0.25">
      <c r="A244" t="s">
        <v>537</v>
      </c>
      <c r="B244" t="s">
        <v>537</v>
      </c>
    </row>
    <row r="245" spans="1:2" x14ac:dyDescent="0.25">
      <c r="A245" t="s">
        <v>539</v>
      </c>
      <c r="B245" t="s">
        <v>539</v>
      </c>
    </row>
    <row r="246" spans="1:2" x14ac:dyDescent="0.25">
      <c r="A246" t="s">
        <v>541</v>
      </c>
      <c r="B246" t="s">
        <v>541</v>
      </c>
    </row>
    <row r="247" spans="1:2" x14ac:dyDescent="0.25">
      <c r="A247" t="s">
        <v>543</v>
      </c>
      <c r="B247" t="s">
        <v>543</v>
      </c>
    </row>
    <row r="248" spans="1:2" x14ac:dyDescent="0.25">
      <c r="A248" t="s">
        <v>545</v>
      </c>
      <c r="B248" t="s">
        <v>545</v>
      </c>
    </row>
    <row r="249" spans="1:2" x14ac:dyDescent="0.25">
      <c r="A249" t="s">
        <v>547</v>
      </c>
      <c r="B249" t="s">
        <v>547</v>
      </c>
    </row>
    <row r="250" spans="1:2" x14ac:dyDescent="0.25">
      <c r="A250" t="s">
        <v>549</v>
      </c>
      <c r="B250" t="s">
        <v>549</v>
      </c>
    </row>
    <row r="251" spans="1:2" x14ac:dyDescent="0.25">
      <c r="A251" t="s">
        <v>551</v>
      </c>
      <c r="B251" t="s">
        <v>551</v>
      </c>
    </row>
    <row r="252" spans="1:2" x14ac:dyDescent="0.25">
      <c r="A252" t="s">
        <v>553</v>
      </c>
      <c r="B252" t="s">
        <v>553</v>
      </c>
    </row>
    <row r="253" spans="1:2" x14ac:dyDescent="0.25">
      <c r="A253" t="s">
        <v>555</v>
      </c>
      <c r="B253" t="s">
        <v>555</v>
      </c>
    </row>
    <row r="254" spans="1:2" x14ac:dyDescent="0.25">
      <c r="A254" t="s">
        <v>557</v>
      </c>
      <c r="B254" t="s">
        <v>557</v>
      </c>
    </row>
    <row r="255" spans="1:2" x14ac:dyDescent="0.25">
      <c r="A255" t="s">
        <v>559</v>
      </c>
      <c r="B255" t="s">
        <v>559</v>
      </c>
    </row>
    <row r="256" spans="1:2" x14ac:dyDescent="0.25">
      <c r="A256" t="s">
        <v>561</v>
      </c>
      <c r="B256" t="s">
        <v>561</v>
      </c>
    </row>
    <row r="257" spans="1:2" x14ac:dyDescent="0.25">
      <c r="A257" t="s">
        <v>563</v>
      </c>
      <c r="B257" t="s">
        <v>563</v>
      </c>
    </row>
    <row r="258" spans="1:2" x14ac:dyDescent="0.25">
      <c r="A258" t="s">
        <v>565</v>
      </c>
      <c r="B258" t="s">
        <v>565</v>
      </c>
    </row>
    <row r="259" spans="1:2" x14ac:dyDescent="0.25">
      <c r="A259" t="s">
        <v>567</v>
      </c>
      <c r="B259" t="s">
        <v>567</v>
      </c>
    </row>
    <row r="260" spans="1:2" x14ac:dyDescent="0.25">
      <c r="A260" t="s">
        <v>569</v>
      </c>
      <c r="B260" t="s">
        <v>569</v>
      </c>
    </row>
    <row r="261" spans="1:2" x14ac:dyDescent="0.25">
      <c r="A261" t="s">
        <v>571</v>
      </c>
      <c r="B261" t="s">
        <v>571</v>
      </c>
    </row>
    <row r="262" spans="1:2" x14ac:dyDescent="0.25">
      <c r="A262" t="s">
        <v>573</v>
      </c>
      <c r="B262" t="s">
        <v>573</v>
      </c>
    </row>
    <row r="263" spans="1:2" x14ac:dyDescent="0.25">
      <c r="A263" t="s">
        <v>575</v>
      </c>
      <c r="B263" t="s">
        <v>575</v>
      </c>
    </row>
    <row r="264" spans="1:2" x14ac:dyDescent="0.25">
      <c r="A264" t="s">
        <v>577</v>
      </c>
      <c r="B264" t="s">
        <v>577</v>
      </c>
    </row>
    <row r="265" spans="1:2" x14ac:dyDescent="0.25">
      <c r="A265" t="s">
        <v>579</v>
      </c>
      <c r="B265" t="s">
        <v>579</v>
      </c>
    </row>
    <row r="266" spans="1:2" x14ac:dyDescent="0.25">
      <c r="A266" t="s">
        <v>581</v>
      </c>
      <c r="B266" t="s">
        <v>581</v>
      </c>
    </row>
    <row r="267" spans="1:2" x14ac:dyDescent="0.25">
      <c r="A267" t="s">
        <v>583</v>
      </c>
      <c r="B267" t="s">
        <v>583</v>
      </c>
    </row>
    <row r="268" spans="1:2" x14ac:dyDescent="0.25">
      <c r="A268" t="s">
        <v>585</v>
      </c>
      <c r="B268" t="s">
        <v>585</v>
      </c>
    </row>
    <row r="269" spans="1:2" x14ac:dyDescent="0.25">
      <c r="A269" t="s">
        <v>587</v>
      </c>
      <c r="B269" t="s">
        <v>587</v>
      </c>
    </row>
    <row r="270" spans="1:2" x14ac:dyDescent="0.25">
      <c r="A270" t="s">
        <v>589</v>
      </c>
      <c r="B270" t="s">
        <v>589</v>
      </c>
    </row>
    <row r="271" spans="1:2" x14ac:dyDescent="0.25">
      <c r="A271" t="s">
        <v>591</v>
      </c>
      <c r="B271" t="s">
        <v>591</v>
      </c>
    </row>
    <row r="272" spans="1:2" x14ac:dyDescent="0.25">
      <c r="A272" t="s">
        <v>593</v>
      </c>
      <c r="B272" t="s">
        <v>593</v>
      </c>
    </row>
    <row r="273" spans="1:2" x14ac:dyDescent="0.25">
      <c r="A273" t="s">
        <v>595</v>
      </c>
      <c r="B273" t="s">
        <v>595</v>
      </c>
    </row>
    <row r="274" spans="1:2" x14ac:dyDescent="0.25">
      <c r="A274" t="s">
        <v>597</v>
      </c>
      <c r="B274" t="s">
        <v>597</v>
      </c>
    </row>
    <row r="275" spans="1:2" x14ac:dyDescent="0.25">
      <c r="A275" t="s">
        <v>599</v>
      </c>
      <c r="B275" t="s">
        <v>599</v>
      </c>
    </row>
    <row r="276" spans="1:2" x14ac:dyDescent="0.25">
      <c r="A276" t="s">
        <v>601</v>
      </c>
      <c r="B276" t="s">
        <v>601</v>
      </c>
    </row>
    <row r="277" spans="1:2" x14ac:dyDescent="0.25">
      <c r="A277" t="s">
        <v>603</v>
      </c>
      <c r="B277" t="s">
        <v>603</v>
      </c>
    </row>
    <row r="278" spans="1:2" x14ac:dyDescent="0.25">
      <c r="A278" t="s">
        <v>605</v>
      </c>
      <c r="B278" t="s">
        <v>605</v>
      </c>
    </row>
    <row r="279" spans="1:2" x14ac:dyDescent="0.25">
      <c r="A279" t="s">
        <v>607</v>
      </c>
      <c r="B279" t="s">
        <v>607</v>
      </c>
    </row>
    <row r="280" spans="1:2" x14ac:dyDescent="0.25">
      <c r="A280" t="s">
        <v>609</v>
      </c>
      <c r="B280" t="s">
        <v>609</v>
      </c>
    </row>
    <row r="281" spans="1:2" x14ac:dyDescent="0.25">
      <c r="A281" t="s">
        <v>611</v>
      </c>
      <c r="B281" t="s">
        <v>611</v>
      </c>
    </row>
    <row r="282" spans="1:2" x14ac:dyDescent="0.25">
      <c r="A282" t="s">
        <v>613</v>
      </c>
      <c r="B282" t="s">
        <v>613</v>
      </c>
    </row>
    <row r="283" spans="1:2" x14ac:dyDescent="0.25">
      <c r="A283" t="s">
        <v>615</v>
      </c>
      <c r="B283" t="s">
        <v>615</v>
      </c>
    </row>
    <row r="284" spans="1:2" x14ac:dyDescent="0.25">
      <c r="A284" t="s">
        <v>617</v>
      </c>
      <c r="B284" t="s">
        <v>617</v>
      </c>
    </row>
    <row r="285" spans="1:2" x14ac:dyDescent="0.25">
      <c r="A285" t="s">
        <v>619</v>
      </c>
      <c r="B285" t="s">
        <v>619</v>
      </c>
    </row>
    <row r="286" spans="1:2" x14ac:dyDescent="0.25">
      <c r="A286" t="s">
        <v>621</v>
      </c>
      <c r="B286" t="s">
        <v>621</v>
      </c>
    </row>
    <row r="287" spans="1:2" x14ac:dyDescent="0.25">
      <c r="A287" t="s">
        <v>623</v>
      </c>
      <c r="B287" t="s">
        <v>623</v>
      </c>
    </row>
    <row r="288" spans="1:2" x14ac:dyDescent="0.25">
      <c r="A288" t="s">
        <v>625</v>
      </c>
      <c r="B288" t="s">
        <v>625</v>
      </c>
    </row>
    <row r="289" spans="1:2" x14ac:dyDescent="0.25">
      <c r="A289" t="s">
        <v>627</v>
      </c>
      <c r="B289" t="s">
        <v>627</v>
      </c>
    </row>
    <row r="290" spans="1:2" x14ac:dyDescent="0.25">
      <c r="A290" t="s">
        <v>629</v>
      </c>
      <c r="B290" t="s">
        <v>629</v>
      </c>
    </row>
    <row r="291" spans="1:2" x14ac:dyDescent="0.25">
      <c r="A291" t="s">
        <v>666</v>
      </c>
      <c r="B291" t="s">
        <v>666</v>
      </c>
    </row>
    <row r="292" spans="1:2" x14ac:dyDescent="0.25">
      <c r="A292" t="s">
        <v>631</v>
      </c>
      <c r="B292" t="s">
        <v>631</v>
      </c>
    </row>
    <row r="293" spans="1:2" x14ac:dyDescent="0.25">
      <c r="A293" t="s">
        <v>633</v>
      </c>
      <c r="B293" t="s">
        <v>633</v>
      </c>
    </row>
    <row r="294" spans="1:2" x14ac:dyDescent="0.25">
      <c r="A294" t="s">
        <v>636</v>
      </c>
      <c r="B294" t="s">
        <v>636</v>
      </c>
    </row>
    <row r="295" spans="1:2" x14ac:dyDescent="0.25">
      <c r="A295" t="s">
        <v>638</v>
      </c>
      <c r="B295" t="s">
        <v>638</v>
      </c>
    </row>
    <row r="296" spans="1:2" x14ac:dyDescent="0.25">
      <c r="A296" t="s">
        <v>640</v>
      </c>
      <c r="B296" t="s">
        <v>640</v>
      </c>
    </row>
    <row r="297" spans="1:2" x14ac:dyDescent="0.25">
      <c r="A297" t="s">
        <v>642</v>
      </c>
      <c r="B297" t="s">
        <v>642</v>
      </c>
    </row>
    <row r="298" spans="1:2" x14ac:dyDescent="0.25">
      <c r="A298" t="s">
        <v>682</v>
      </c>
      <c r="B298" t="s">
        <v>682</v>
      </c>
    </row>
    <row r="299" spans="1:2" x14ac:dyDescent="0.25">
      <c r="A299" t="s">
        <v>644</v>
      </c>
      <c r="B299" t="s">
        <v>644</v>
      </c>
    </row>
    <row r="300" spans="1:2" x14ac:dyDescent="0.25">
      <c r="A300" t="s">
        <v>646</v>
      </c>
      <c r="B300" t="s">
        <v>646</v>
      </c>
    </row>
    <row r="301" spans="1:2" x14ac:dyDescent="0.25">
      <c r="A301" t="s">
        <v>648</v>
      </c>
      <c r="B301" t="s">
        <v>648</v>
      </c>
    </row>
    <row r="302" spans="1:2" x14ac:dyDescent="0.25">
      <c r="A302" t="s">
        <v>650</v>
      </c>
      <c r="B302" t="s">
        <v>650</v>
      </c>
    </row>
    <row r="303" spans="1:2" x14ac:dyDescent="0.25">
      <c r="A303" t="s">
        <v>652</v>
      </c>
      <c r="B303" t="s">
        <v>652</v>
      </c>
    </row>
    <row r="304" spans="1:2" x14ac:dyDescent="0.25">
      <c r="A304" t="s">
        <v>654</v>
      </c>
      <c r="B304" t="s">
        <v>654</v>
      </c>
    </row>
    <row r="305" spans="1:2" x14ac:dyDescent="0.25">
      <c r="A305" t="s">
        <v>656</v>
      </c>
      <c r="B305" t="s">
        <v>656</v>
      </c>
    </row>
    <row r="306" spans="1:2" x14ac:dyDescent="0.25">
      <c r="A306" t="s">
        <v>658</v>
      </c>
      <c r="B306" t="s">
        <v>658</v>
      </c>
    </row>
    <row r="307" spans="1:2" x14ac:dyDescent="0.25">
      <c r="A307" t="s">
        <v>660</v>
      </c>
      <c r="B307" t="s">
        <v>660</v>
      </c>
    </row>
    <row r="308" spans="1:2" x14ac:dyDescent="0.25">
      <c r="A308" t="s">
        <v>662</v>
      </c>
      <c r="B308" t="s">
        <v>662</v>
      </c>
    </row>
    <row r="309" spans="1:2" x14ac:dyDescent="0.25">
      <c r="A309" t="s">
        <v>664</v>
      </c>
      <c r="B309" t="s">
        <v>664</v>
      </c>
    </row>
    <row r="310" spans="1:2" x14ac:dyDescent="0.25">
      <c r="A310" t="s">
        <v>270</v>
      </c>
      <c r="B310" t="s">
        <v>270</v>
      </c>
    </row>
    <row r="311" spans="1:2" x14ac:dyDescent="0.25">
      <c r="A311" t="s">
        <v>669</v>
      </c>
      <c r="B311" t="s">
        <v>669</v>
      </c>
    </row>
    <row r="312" spans="1:2" x14ac:dyDescent="0.25">
      <c r="A312" t="s">
        <v>671</v>
      </c>
      <c r="B312" t="s">
        <v>671</v>
      </c>
    </row>
    <row r="313" spans="1:2" x14ac:dyDescent="0.25">
      <c r="A313" t="s">
        <v>673</v>
      </c>
      <c r="B313" t="s">
        <v>673</v>
      </c>
    </row>
    <row r="314" spans="1:2" x14ac:dyDescent="0.25">
      <c r="A314" t="s">
        <v>675</v>
      </c>
      <c r="B314" t="s">
        <v>675</v>
      </c>
    </row>
    <row r="315" spans="1:2" x14ac:dyDescent="0.25">
      <c r="A315" t="s">
        <v>677</v>
      </c>
      <c r="B315" t="s">
        <v>677</v>
      </c>
    </row>
    <row r="316" spans="1:2" x14ac:dyDescent="0.25">
      <c r="A316" t="s">
        <v>679</v>
      </c>
      <c r="B316" t="s">
        <v>679</v>
      </c>
    </row>
    <row r="317" spans="1:2" x14ac:dyDescent="0.25">
      <c r="A317" t="s">
        <v>681</v>
      </c>
      <c r="B317" t="s">
        <v>681</v>
      </c>
    </row>
    <row r="318" spans="1:2" x14ac:dyDescent="0.25">
      <c r="A318" t="s">
        <v>685</v>
      </c>
      <c r="B318" t="s">
        <v>685</v>
      </c>
    </row>
    <row r="319" spans="1:2" x14ac:dyDescent="0.25">
      <c r="A319" t="s">
        <v>687</v>
      </c>
      <c r="B319" t="s">
        <v>687</v>
      </c>
    </row>
    <row r="320" spans="1:2" x14ac:dyDescent="0.25">
      <c r="A320" t="s">
        <v>689</v>
      </c>
      <c r="B320" t="s">
        <v>689</v>
      </c>
    </row>
    <row r="321" spans="1:2" x14ac:dyDescent="0.25">
      <c r="A321" t="s">
        <v>691</v>
      </c>
      <c r="B321" t="s">
        <v>691</v>
      </c>
    </row>
    <row r="322" spans="1:2" x14ac:dyDescent="0.25">
      <c r="A322" t="s">
        <v>693</v>
      </c>
      <c r="B322" t="s">
        <v>693</v>
      </c>
    </row>
    <row r="323" spans="1:2" x14ac:dyDescent="0.25">
      <c r="A323" t="s">
        <v>695</v>
      </c>
      <c r="B323" t="s">
        <v>695</v>
      </c>
    </row>
    <row r="324" spans="1:2" x14ac:dyDescent="0.25">
      <c r="A324" t="s">
        <v>697</v>
      </c>
      <c r="B324" t="s">
        <v>697</v>
      </c>
    </row>
    <row r="325" spans="1:2" x14ac:dyDescent="0.25">
      <c r="A325" t="s">
        <v>738</v>
      </c>
      <c r="B325" t="s">
        <v>738</v>
      </c>
    </row>
    <row r="326" spans="1:2" x14ac:dyDescent="0.25">
      <c r="A326" t="s">
        <v>699</v>
      </c>
      <c r="B326" t="s">
        <v>699</v>
      </c>
    </row>
    <row r="327" spans="1:2" x14ac:dyDescent="0.25">
      <c r="A327" t="s">
        <v>744</v>
      </c>
      <c r="B327" t="s">
        <v>744</v>
      </c>
    </row>
    <row r="328" spans="1:2" x14ac:dyDescent="0.25">
      <c r="A328" t="s">
        <v>701</v>
      </c>
      <c r="B328" t="s">
        <v>701</v>
      </c>
    </row>
    <row r="329" spans="1:2" x14ac:dyDescent="0.25">
      <c r="A329" t="s">
        <v>703</v>
      </c>
      <c r="B329" t="s">
        <v>703</v>
      </c>
    </row>
    <row r="330" spans="1:2" x14ac:dyDescent="0.25">
      <c r="A330" t="s">
        <v>705</v>
      </c>
      <c r="B330" t="s">
        <v>705</v>
      </c>
    </row>
    <row r="331" spans="1:2" x14ac:dyDescent="0.25">
      <c r="A331" t="s">
        <v>707</v>
      </c>
      <c r="B331" t="s">
        <v>707</v>
      </c>
    </row>
    <row r="332" spans="1:2" x14ac:dyDescent="0.25">
      <c r="A332" t="s">
        <v>709</v>
      </c>
      <c r="B332" t="s">
        <v>709</v>
      </c>
    </row>
    <row r="333" spans="1:2" x14ac:dyDescent="0.25">
      <c r="A333" t="s">
        <v>711</v>
      </c>
      <c r="B333" t="s">
        <v>711</v>
      </c>
    </row>
    <row r="334" spans="1:2" x14ac:dyDescent="0.25">
      <c r="A334" t="s">
        <v>713</v>
      </c>
      <c r="B334" t="s">
        <v>713</v>
      </c>
    </row>
    <row r="335" spans="1:2" x14ac:dyDescent="0.25">
      <c r="A335" t="s">
        <v>715</v>
      </c>
      <c r="B335" t="s">
        <v>715</v>
      </c>
    </row>
    <row r="336" spans="1:2" x14ac:dyDescent="0.25">
      <c r="A336" t="s">
        <v>717</v>
      </c>
      <c r="B336" t="s">
        <v>717</v>
      </c>
    </row>
    <row r="337" spans="1:2" x14ac:dyDescent="0.25">
      <c r="A337" t="s">
        <v>719</v>
      </c>
      <c r="B337" t="s">
        <v>719</v>
      </c>
    </row>
    <row r="338" spans="1:2" x14ac:dyDescent="0.25">
      <c r="A338" t="s">
        <v>721</v>
      </c>
      <c r="B338" t="s">
        <v>721</v>
      </c>
    </row>
    <row r="339" spans="1:2" x14ac:dyDescent="0.25">
      <c r="A339" t="s">
        <v>723</v>
      </c>
      <c r="B339" t="s">
        <v>723</v>
      </c>
    </row>
    <row r="340" spans="1:2" x14ac:dyDescent="0.25">
      <c r="A340" t="s">
        <v>725</v>
      </c>
      <c r="B340" t="s">
        <v>725</v>
      </c>
    </row>
    <row r="341" spans="1:2" x14ac:dyDescent="0.25">
      <c r="A341" t="s">
        <v>727</v>
      </c>
      <c r="B341" t="s">
        <v>727</v>
      </c>
    </row>
    <row r="342" spans="1:2" x14ac:dyDescent="0.25">
      <c r="A342" t="s">
        <v>729</v>
      </c>
      <c r="B342" t="s">
        <v>729</v>
      </c>
    </row>
    <row r="343" spans="1:2" x14ac:dyDescent="0.25">
      <c r="A343" t="s">
        <v>731</v>
      </c>
      <c r="B343" t="s">
        <v>731</v>
      </c>
    </row>
    <row r="344" spans="1:2" x14ac:dyDescent="0.25">
      <c r="A344" t="s">
        <v>781</v>
      </c>
      <c r="B344" t="s">
        <v>781</v>
      </c>
    </row>
    <row r="345" spans="1:2" x14ac:dyDescent="0.25">
      <c r="A345" t="s">
        <v>733</v>
      </c>
      <c r="B345" t="s">
        <v>733</v>
      </c>
    </row>
    <row r="346" spans="1:2" x14ac:dyDescent="0.25">
      <c r="A346" t="s">
        <v>787</v>
      </c>
      <c r="B346" t="s">
        <v>787</v>
      </c>
    </row>
    <row r="347" spans="1:2" x14ac:dyDescent="0.25">
      <c r="A347" t="s">
        <v>735</v>
      </c>
      <c r="B347" t="s">
        <v>735</v>
      </c>
    </row>
    <row r="348" spans="1:2" x14ac:dyDescent="0.25">
      <c r="A348" t="s">
        <v>737</v>
      </c>
      <c r="B348" t="s">
        <v>737</v>
      </c>
    </row>
    <row r="349" spans="1:2" x14ac:dyDescent="0.25">
      <c r="A349" t="s">
        <v>741</v>
      </c>
      <c r="B349" t="s">
        <v>741</v>
      </c>
    </row>
    <row r="350" spans="1:2" x14ac:dyDescent="0.25">
      <c r="A350" t="s">
        <v>743</v>
      </c>
      <c r="B350" t="s">
        <v>743</v>
      </c>
    </row>
    <row r="351" spans="1:2" x14ac:dyDescent="0.25">
      <c r="A351" t="s">
        <v>747</v>
      </c>
      <c r="B351" t="s">
        <v>747</v>
      </c>
    </row>
    <row r="352" spans="1:2" x14ac:dyDescent="0.25">
      <c r="A352" t="s">
        <v>801</v>
      </c>
      <c r="B352" t="s">
        <v>801</v>
      </c>
    </row>
    <row r="353" spans="1:2" x14ac:dyDescent="0.25">
      <c r="A353" t="s">
        <v>749</v>
      </c>
      <c r="B353" t="s">
        <v>749</v>
      </c>
    </row>
    <row r="354" spans="1:2" x14ac:dyDescent="0.25">
      <c r="A354" t="s">
        <v>751</v>
      </c>
      <c r="B354" t="s">
        <v>751</v>
      </c>
    </row>
    <row r="355" spans="1:2" x14ac:dyDescent="0.25">
      <c r="A355" t="s">
        <v>809</v>
      </c>
      <c r="B355" t="s">
        <v>809</v>
      </c>
    </row>
    <row r="356" spans="1:2" x14ac:dyDescent="0.25">
      <c r="A356" t="s">
        <v>753</v>
      </c>
      <c r="B356" t="s">
        <v>753</v>
      </c>
    </row>
    <row r="357" spans="1:2" x14ac:dyDescent="0.25">
      <c r="A357" t="s">
        <v>755</v>
      </c>
      <c r="B357" t="s">
        <v>755</v>
      </c>
    </row>
    <row r="358" spans="1:2" x14ac:dyDescent="0.25">
      <c r="A358" t="s">
        <v>757</v>
      </c>
      <c r="B358" t="s">
        <v>757</v>
      </c>
    </row>
    <row r="359" spans="1:2" x14ac:dyDescent="0.25">
      <c r="A359" t="s">
        <v>759</v>
      </c>
      <c r="B359" t="s">
        <v>759</v>
      </c>
    </row>
    <row r="360" spans="1:2" x14ac:dyDescent="0.25">
      <c r="A360" t="s">
        <v>762</v>
      </c>
      <c r="B360" t="s">
        <v>762</v>
      </c>
    </row>
    <row r="361" spans="1:2" x14ac:dyDescent="0.25">
      <c r="A361" t="s">
        <v>824</v>
      </c>
      <c r="B361" t="s">
        <v>824</v>
      </c>
    </row>
    <row r="362" spans="1:2" x14ac:dyDescent="0.25">
      <c r="A362" t="s">
        <v>764</v>
      </c>
      <c r="B362" t="s">
        <v>764</v>
      </c>
    </row>
    <row r="363" spans="1:2" x14ac:dyDescent="0.25">
      <c r="A363" t="s">
        <v>766</v>
      </c>
      <c r="B363" t="s">
        <v>766</v>
      </c>
    </row>
    <row r="364" spans="1:2" x14ac:dyDescent="0.25">
      <c r="A364" t="s">
        <v>768</v>
      </c>
      <c r="B364" t="s">
        <v>768</v>
      </c>
    </row>
    <row r="365" spans="1:2" x14ac:dyDescent="0.25">
      <c r="A365" t="s">
        <v>770</v>
      </c>
      <c r="B365" t="s">
        <v>770</v>
      </c>
    </row>
    <row r="366" spans="1:2" x14ac:dyDescent="0.25">
      <c r="A366" t="s">
        <v>772</v>
      </c>
      <c r="B366" t="s">
        <v>772</v>
      </c>
    </row>
    <row r="367" spans="1:2" x14ac:dyDescent="0.25">
      <c r="A367" t="s">
        <v>774</v>
      </c>
      <c r="B367" t="s">
        <v>774</v>
      </c>
    </row>
    <row r="368" spans="1:2" x14ac:dyDescent="0.25">
      <c r="A368" t="s">
        <v>776</v>
      </c>
      <c r="B368" t="s">
        <v>776</v>
      </c>
    </row>
    <row r="369" spans="1:2" x14ac:dyDescent="0.25">
      <c r="A369" t="s">
        <v>842</v>
      </c>
      <c r="B369" t="s">
        <v>842</v>
      </c>
    </row>
    <row r="370" spans="1:2" x14ac:dyDescent="0.25">
      <c r="A370" t="s">
        <v>778</v>
      </c>
      <c r="B370" t="s">
        <v>778</v>
      </c>
    </row>
    <row r="371" spans="1:2" x14ac:dyDescent="0.25">
      <c r="A371" t="s">
        <v>780</v>
      </c>
      <c r="B371" t="s">
        <v>780</v>
      </c>
    </row>
    <row r="372" spans="1:2" x14ac:dyDescent="0.25">
      <c r="A372" t="s">
        <v>784</v>
      </c>
      <c r="B372" t="s">
        <v>784</v>
      </c>
    </row>
    <row r="373" spans="1:2" x14ac:dyDescent="0.25">
      <c r="A373" t="s">
        <v>786</v>
      </c>
      <c r="B373" t="s">
        <v>786</v>
      </c>
    </row>
    <row r="374" spans="1:2" x14ac:dyDescent="0.25">
      <c r="A374" t="s">
        <v>790</v>
      </c>
      <c r="B374" t="s">
        <v>790</v>
      </c>
    </row>
    <row r="375" spans="1:2" x14ac:dyDescent="0.25">
      <c r="A375" t="s">
        <v>856</v>
      </c>
      <c r="B375" t="s">
        <v>856</v>
      </c>
    </row>
    <row r="376" spans="1:2" x14ac:dyDescent="0.25">
      <c r="A376" t="s">
        <v>792</v>
      </c>
      <c r="B376" t="s">
        <v>792</v>
      </c>
    </row>
    <row r="377" spans="1:2" x14ac:dyDescent="0.25">
      <c r="A377" t="s">
        <v>794</v>
      </c>
      <c r="B377" t="s">
        <v>794</v>
      </c>
    </row>
    <row r="378" spans="1:2" x14ac:dyDescent="0.25">
      <c r="A378" t="s">
        <v>796</v>
      </c>
      <c r="B378" t="s">
        <v>796</v>
      </c>
    </row>
    <row r="379" spans="1:2" x14ac:dyDescent="0.25">
      <c r="A379" t="s">
        <v>798</v>
      </c>
      <c r="B379" t="s">
        <v>798</v>
      </c>
    </row>
    <row r="380" spans="1:2" x14ac:dyDescent="0.25">
      <c r="A380" t="s">
        <v>800</v>
      </c>
      <c r="B380" t="s">
        <v>800</v>
      </c>
    </row>
    <row r="381" spans="1:2" x14ac:dyDescent="0.25">
      <c r="A381" t="s">
        <v>804</v>
      </c>
      <c r="B381" t="s">
        <v>804</v>
      </c>
    </row>
    <row r="382" spans="1:2" x14ac:dyDescent="0.25">
      <c r="A382" t="s">
        <v>806</v>
      </c>
      <c r="B382" t="s">
        <v>806</v>
      </c>
    </row>
    <row r="383" spans="1:2" x14ac:dyDescent="0.25">
      <c r="A383" t="s">
        <v>808</v>
      </c>
      <c r="B383" t="s">
        <v>808</v>
      </c>
    </row>
    <row r="384" spans="1:2" x14ac:dyDescent="0.25">
      <c r="A384" t="s">
        <v>812</v>
      </c>
      <c r="B384" t="s">
        <v>812</v>
      </c>
    </row>
    <row r="385" spans="1:2" x14ac:dyDescent="0.25">
      <c r="A385" t="s">
        <v>815</v>
      </c>
      <c r="B385" t="s">
        <v>815</v>
      </c>
    </row>
    <row r="386" spans="1:2" x14ac:dyDescent="0.25">
      <c r="A386" t="s">
        <v>817</v>
      </c>
      <c r="B386" t="s">
        <v>817</v>
      </c>
    </row>
    <row r="387" spans="1:2" x14ac:dyDescent="0.25">
      <c r="A387" t="s">
        <v>819</v>
      </c>
      <c r="B387" t="s">
        <v>819</v>
      </c>
    </row>
    <row r="388" spans="1:2" x14ac:dyDescent="0.25">
      <c r="A388" t="s">
        <v>821</v>
      </c>
      <c r="B388" t="s">
        <v>821</v>
      </c>
    </row>
    <row r="389" spans="1:2" x14ac:dyDescent="0.25">
      <c r="A389" t="s">
        <v>823</v>
      </c>
      <c r="B389" t="s">
        <v>823</v>
      </c>
    </row>
    <row r="390" spans="1:2" x14ac:dyDescent="0.25">
      <c r="A390" t="s">
        <v>827</v>
      </c>
      <c r="B390" t="s">
        <v>827</v>
      </c>
    </row>
    <row r="391" spans="1:2" x14ac:dyDescent="0.25">
      <c r="A391" t="s">
        <v>829</v>
      </c>
      <c r="B391" t="s">
        <v>829</v>
      </c>
    </row>
    <row r="392" spans="1:2" x14ac:dyDescent="0.25">
      <c r="A392" t="s">
        <v>831</v>
      </c>
      <c r="B392" t="s">
        <v>831</v>
      </c>
    </row>
    <row r="393" spans="1:2" x14ac:dyDescent="0.25">
      <c r="A393" t="s">
        <v>833</v>
      </c>
      <c r="B393" t="s">
        <v>833</v>
      </c>
    </row>
    <row r="394" spans="1:2" x14ac:dyDescent="0.25">
      <c r="A394" t="s">
        <v>835</v>
      </c>
      <c r="B394" t="s">
        <v>835</v>
      </c>
    </row>
    <row r="395" spans="1:2" x14ac:dyDescent="0.25">
      <c r="A395" t="s">
        <v>837</v>
      </c>
      <c r="B395" t="s">
        <v>837</v>
      </c>
    </row>
    <row r="396" spans="1:2" x14ac:dyDescent="0.25">
      <c r="A396" t="s">
        <v>839</v>
      </c>
      <c r="B396" t="s">
        <v>839</v>
      </c>
    </row>
    <row r="397" spans="1:2" x14ac:dyDescent="0.25">
      <c r="A397" t="s">
        <v>841</v>
      </c>
      <c r="B397" t="s">
        <v>841</v>
      </c>
    </row>
    <row r="398" spans="1:2" x14ac:dyDescent="0.25">
      <c r="A398" t="s">
        <v>845</v>
      </c>
      <c r="B398" t="s">
        <v>845</v>
      </c>
    </row>
    <row r="399" spans="1:2" x14ac:dyDescent="0.25">
      <c r="A399" t="s">
        <v>847</v>
      </c>
      <c r="B399" t="s">
        <v>847</v>
      </c>
    </row>
    <row r="400" spans="1:2" x14ac:dyDescent="0.25">
      <c r="A400" t="s">
        <v>849</v>
      </c>
      <c r="B400" t="s">
        <v>849</v>
      </c>
    </row>
    <row r="401" spans="1:2" x14ac:dyDescent="0.25">
      <c r="A401" t="s">
        <v>851</v>
      </c>
      <c r="B401" t="s">
        <v>851</v>
      </c>
    </row>
    <row r="402" spans="1:2" x14ac:dyDescent="0.25">
      <c r="A402" t="s">
        <v>853</v>
      </c>
      <c r="B402" t="s">
        <v>853</v>
      </c>
    </row>
    <row r="403" spans="1:2" x14ac:dyDescent="0.25">
      <c r="A403" t="s">
        <v>855</v>
      </c>
      <c r="B403" t="s">
        <v>855</v>
      </c>
    </row>
    <row r="404" spans="1:2" x14ac:dyDescent="0.25">
      <c r="A404" t="s">
        <v>859</v>
      </c>
      <c r="B404" t="s">
        <v>859</v>
      </c>
    </row>
    <row r="405" spans="1:2" x14ac:dyDescent="0.25">
      <c r="A405" t="s">
        <v>861</v>
      </c>
      <c r="B405" t="s">
        <v>861</v>
      </c>
    </row>
    <row r="406" spans="1:2" x14ac:dyDescent="0.25">
      <c r="A406" t="s">
        <v>863</v>
      </c>
      <c r="B406" t="s">
        <v>863</v>
      </c>
    </row>
    <row r="407" spans="1:2" x14ac:dyDescent="0.25">
      <c r="A407" t="s">
        <v>865</v>
      </c>
      <c r="B407" t="s">
        <v>865</v>
      </c>
    </row>
    <row r="408" spans="1:2" x14ac:dyDescent="0.25">
      <c r="A408" t="s">
        <v>867</v>
      </c>
      <c r="B408" t="s">
        <v>867</v>
      </c>
    </row>
    <row r="409" spans="1:2" x14ac:dyDescent="0.25">
      <c r="A409" t="s">
        <v>869</v>
      </c>
      <c r="B409" t="s">
        <v>869</v>
      </c>
    </row>
    <row r="410" spans="1:2" x14ac:dyDescent="0.25">
      <c r="A410" t="s">
        <v>871</v>
      </c>
      <c r="B410" t="s">
        <v>871</v>
      </c>
    </row>
    <row r="411" spans="1:2" x14ac:dyDescent="0.25">
      <c r="A411" t="s">
        <v>873</v>
      </c>
      <c r="B411" t="s">
        <v>873</v>
      </c>
    </row>
    <row r="412" spans="1:2" x14ac:dyDescent="0.25">
      <c r="A412" t="s">
        <v>875</v>
      </c>
      <c r="B412" t="s">
        <v>875</v>
      </c>
    </row>
    <row r="413" spans="1:2" x14ac:dyDescent="0.25">
      <c r="A413" t="s">
        <v>877</v>
      </c>
      <c r="B413" t="s">
        <v>877</v>
      </c>
    </row>
    <row r="414" spans="1:2" x14ac:dyDescent="0.25">
      <c r="A414" t="s">
        <v>879</v>
      </c>
      <c r="B414" t="s">
        <v>879</v>
      </c>
    </row>
    <row r="415" spans="1:2" x14ac:dyDescent="0.25">
      <c r="A415" t="s">
        <v>881</v>
      </c>
      <c r="B415" t="s">
        <v>881</v>
      </c>
    </row>
    <row r="416" spans="1:2" x14ac:dyDescent="0.25">
      <c r="A416" t="s">
        <v>883</v>
      </c>
      <c r="B416" t="s">
        <v>883</v>
      </c>
    </row>
    <row r="417" spans="1:2" x14ac:dyDescent="0.25">
      <c r="A417" t="s">
        <v>885</v>
      </c>
      <c r="B417" t="s">
        <v>885</v>
      </c>
    </row>
    <row r="418" spans="1:2" x14ac:dyDescent="0.25">
      <c r="A418" t="s">
        <v>887</v>
      </c>
      <c r="B418" t="s">
        <v>887</v>
      </c>
    </row>
    <row r="419" spans="1:2" x14ac:dyDescent="0.25">
      <c r="A419" t="s">
        <v>889</v>
      </c>
      <c r="B419" t="s">
        <v>889</v>
      </c>
    </row>
    <row r="420" spans="1:2" x14ac:dyDescent="0.25">
      <c r="A420" t="s">
        <v>891</v>
      </c>
      <c r="B420" t="s">
        <v>891</v>
      </c>
    </row>
    <row r="421" spans="1:2" x14ac:dyDescent="0.25">
      <c r="A421" t="s">
        <v>893</v>
      </c>
      <c r="B421" t="s">
        <v>893</v>
      </c>
    </row>
    <row r="422" spans="1:2" x14ac:dyDescent="0.25">
      <c r="A422" t="s">
        <v>895</v>
      </c>
      <c r="B422" t="s">
        <v>895</v>
      </c>
    </row>
    <row r="423" spans="1:2" x14ac:dyDescent="0.25">
      <c r="A423" t="s">
        <v>897</v>
      </c>
      <c r="B423" t="s">
        <v>897</v>
      </c>
    </row>
    <row r="424" spans="1:2" x14ac:dyDescent="0.25">
      <c r="A424" t="s">
        <v>899</v>
      </c>
      <c r="B424" t="s">
        <v>899</v>
      </c>
    </row>
    <row r="425" spans="1:2" x14ac:dyDescent="0.25">
      <c r="A425" t="s">
        <v>901</v>
      </c>
      <c r="B425" t="s">
        <v>901</v>
      </c>
    </row>
    <row r="426" spans="1:2" x14ac:dyDescent="0.25">
      <c r="A426" t="s">
        <v>903</v>
      </c>
      <c r="B426" t="s">
        <v>903</v>
      </c>
    </row>
    <row r="427" spans="1:2" x14ac:dyDescent="0.25">
      <c r="A427" t="s">
        <v>905</v>
      </c>
      <c r="B427" t="s">
        <v>905</v>
      </c>
    </row>
    <row r="428" spans="1:2" x14ac:dyDescent="0.25">
      <c r="A428" t="s">
        <v>907</v>
      </c>
      <c r="B428" t="s">
        <v>907</v>
      </c>
    </row>
    <row r="429" spans="1:2" x14ac:dyDescent="0.25">
      <c r="A429" t="s">
        <v>910</v>
      </c>
      <c r="B429" t="s">
        <v>910</v>
      </c>
    </row>
    <row r="430" spans="1:2" x14ac:dyDescent="0.25">
      <c r="A430" t="s">
        <v>912</v>
      </c>
      <c r="B430" t="s">
        <v>912</v>
      </c>
    </row>
    <row r="431" spans="1:2" x14ac:dyDescent="0.25">
      <c r="A431" t="s">
        <v>914</v>
      </c>
      <c r="B431" t="s">
        <v>914</v>
      </c>
    </row>
    <row r="432" spans="1:2" x14ac:dyDescent="0.25">
      <c r="A432" t="s">
        <v>917</v>
      </c>
      <c r="B432" t="s">
        <v>917</v>
      </c>
    </row>
    <row r="433" spans="1:2" x14ac:dyDescent="0.25">
      <c r="A433" t="s">
        <v>919</v>
      </c>
      <c r="B433" t="s">
        <v>919</v>
      </c>
    </row>
    <row r="434" spans="1:2" x14ac:dyDescent="0.25">
      <c r="A434" t="s">
        <v>921</v>
      </c>
      <c r="B434" t="s">
        <v>921</v>
      </c>
    </row>
    <row r="435" spans="1:2" x14ac:dyDescent="0.25">
      <c r="A435" t="s">
        <v>924</v>
      </c>
      <c r="B435" t="s">
        <v>924</v>
      </c>
    </row>
    <row r="436" spans="1:2" x14ac:dyDescent="0.25">
      <c r="A436" t="s">
        <v>926</v>
      </c>
      <c r="B436" t="s">
        <v>926</v>
      </c>
    </row>
    <row r="437" spans="1:2" x14ac:dyDescent="0.25">
      <c r="A437" t="s">
        <v>928</v>
      </c>
      <c r="B437" t="s">
        <v>928</v>
      </c>
    </row>
    <row r="438" spans="1:2" x14ac:dyDescent="0.25">
      <c r="A438" t="s">
        <v>930</v>
      </c>
      <c r="B438" t="s">
        <v>930</v>
      </c>
    </row>
    <row r="439" spans="1:2" x14ac:dyDescent="0.25">
      <c r="A439" t="s">
        <v>932</v>
      </c>
      <c r="B439" t="s">
        <v>932</v>
      </c>
    </row>
    <row r="440" spans="1:2" x14ac:dyDescent="0.25">
      <c r="A440" t="s">
        <v>934</v>
      </c>
      <c r="B440" t="s">
        <v>934</v>
      </c>
    </row>
    <row r="441" spans="1:2" x14ac:dyDescent="0.25">
      <c r="A441" t="s">
        <v>936</v>
      </c>
      <c r="B441" t="s">
        <v>936</v>
      </c>
    </row>
    <row r="442" spans="1:2" x14ac:dyDescent="0.25">
      <c r="A442" t="s">
        <v>939</v>
      </c>
      <c r="B442" t="s">
        <v>939</v>
      </c>
    </row>
    <row r="443" spans="1:2" x14ac:dyDescent="0.25">
      <c r="A443" t="s">
        <v>941</v>
      </c>
      <c r="B443" t="s">
        <v>941</v>
      </c>
    </row>
    <row r="444" spans="1:2" x14ac:dyDescent="0.25">
      <c r="A444" t="s">
        <v>944</v>
      </c>
      <c r="B444" t="s">
        <v>944</v>
      </c>
    </row>
    <row r="445" spans="1:2" x14ac:dyDescent="0.25">
      <c r="A445" t="s">
        <v>1007</v>
      </c>
      <c r="B445" t="s">
        <v>1007</v>
      </c>
    </row>
    <row r="446" spans="1:2" x14ac:dyDescent="0.25">
      <c r="A446" t="s">
        <v>947</v>
      </c>
      <c r="B446" t="s">
        <v>947</v>
      </c>
    </row>
    <row r="447" spans="1:2" x14ac:dyDescent="0.25">
      <c r="A447" t="s">
        <v>949</v>
      </c>
      <c r="B447" t="s">
        <v>949</v>
      </c>
    </row>
    <row r="448" spans="1:2" x14ac:dyDescent="0.25">
      <c r="A448" t="s">
        <v>951</v>
      </c>
      <c r="B448" t="s">
        <v>951</v>
      </c>
    </row>
    <row r="449" spans="1:2" x14ac:dyDescent="0.25">
      <c r="A449" t="s">
        <v>954</v>
      </c>
      <c r="B449" t="s">
        <v>954</v>
      </c>
    </row>
    <row r="450" spans="1:2" x14ac:dyDescent="0.25">
      <c r="A450" t="s">
        <v>956</v>
      </c>
      <c r="B450" t="s">
        <v>956</v>
      </c>
    </row>
    <row r="451" spans="1:2" x14ac:dyDescent="0.25">
      <c r="A451" t="s">
        <v>958</v>
      </c>
      <c r="B451" t="s">
        <v>958</v>
      </c>
    </row>
    <row r="452" spans="1:2" x14ac:dyDescent="0.25">
      <c r="A452" t="s">
        <v>960</v>
      </c>
      <c r="B452" t="s">
        <v>960</v>
      </c>
    </row>
    <row r="453" spans="1:2" x14ac:dyDescent="0.25">
      <c r="A453" t="s">
        <v>962</v>
      </c>
      <c r="B453" t="s">
        <v>962</v>
      </c>
    </row>
    <row r="454" spans="1:2" x14ac:dyDescent="0.25">
      <c r="A454" t="s">
        <v>964</v>
      </c>
      <c r="B454" t="s">
        <v>964</v>
      </c>
    </row>
    <row r="455" spans="1:2" x14ac:dyDescent="0.25">
      <c r="A455" t="s">
        <v>966</v>
      </c>
      <c r="B455" t="s">
        <v>966</v>
      </c>
    </row>
    <row r="456" spans="1:2" x14ac:dyDescent="0.25">
      <c r="A456" t="s">
        <v>968</v>
      </c>
      <c r="B456" t="s">
        <v>968</v>
      </c>
    </row>
    <row r="457" spans="1:2" x14ac:dyDescent="0.25">
      <c r="A457" t="s">
        <v>970</v>
      </c>
      <c r="B457" t="s">
        <v>970</v>
      </c>
    </row>
    <row r="458" spans="1:2" x14ac:dyDescent="0.25">
      <c r="A458" t="s">
        <v>972</v>
      </c>
      <c r="B458" t="s">
        <v>972</v>
      </c>
    </row>
    <row r="459" spans="1:2" x14ac:dyDescent="0.25">
      <c r="A459" t="s">
        <v>975</v>
      </c>
      <c r="B459" t="s">
        <v>975</v>
      </c>
    </row>
    <row r="460" spans="1:2" x14ac:dyDescent="0.25">
      <c r="A460" t="s">
        <v>977</v>
      </c>
      <c r="B460" t="s">
        <v>977</v>
      </c>
    </row>
    <row r="461" spans="1:2" x14ac:dyDescent="0.25">
      <c r="A461" t="s">
        <v>979</v>
      </c>
      <c r="B461" t="s">
        <v>979</v>
      </c>
    </row>
    <row r="462" spans="1:2" x14ac:dyDescent="0.25">
      <c r="A462" t="s">
        <v>981</v>
      </c>
      <c r="B462" t="s">
        <v>981</v>
      </c>
    </row>
    <row r="463" spans="1:2" x14ac:dyDescent="0.25">
      <c r="A463" t="s">
        <v>983</v>
      </c>
      <c r="B463" t="s">
        <v>983</v>
      </c>
    </row>
    <row r="464" spans="1:2" x14ac:dyDescent="0.25">
      <c r="A464" t="s">
        <v>985</v>
      </c>
      <c r="B464" t="s">
        <v>985</v>
      </c>
    </row>
    <row r="465" spans="1:2" x14ac:dyDescent="0.25">
      <c r="A465" t="s">
        <v>989</v>
      </c>
      <c r="B465" t="s">
        <v>989</v>
      </c>
    </row>
    <row r="466" spans="1:2" x14ac:dyDescent="0.25">
      <c r="A466" t="s">
        <v>991</v>
      </c>
      <c r="B466" t="s">
        <v>991</v>
      </c>
    </row>
    <row r="467" spans="1:2" x14ac:dyDescent="0.25">
      <c r="A467" t="s">
        <v>993</v>
      </c>
      <c r="B467" t="s">
        <v>993</v>
      </c>
    </row>
    <row r="468" spans="1:2" x14ac:dyDescent="0.25">
      <c r="A468" t="s">
        <v>996</v>
      </c>
      <c r="B468" t="s">
        <v>996</v>
      </c>
    </row>
    <row r="469" spans="1:2" x14ac:dyDescent="0.25">
      <c r="A469" t="s">
        <v>998</v>
      </c>
      <c r="B469" t="s">
        <v>998</v>
      </c>
    </row>
    <row r="470" spans="1:2" x14ac:dyDescent="0.25">
      <c r="A470" t="s">
        <v>1000</v>
      </c>
      <c r="B470" t="s">
        <v>1000</v>
      </c>
    </row>
    <row r="471" spans="1:2" x14ac:dyDescent="0.25">
      <c r="A471" t="s">
        <v>1002</v>
      </c>
      <c r="B471" t="s">
        <v>1002</v>
      </c>
    </row>
    <row r="472" spans="1:2" x14ac:dyDescent="0.25">
      <c r="A472" t="s">
        <v>1004</v>
      </c>
      <c r="B472" t="s">
        <v>1004</v>
      </c>
    </row>
    <row r="473" spans="1:2" x14ac:dyDescent="0.25">
      <c r="A473" t="s">
        <v>1006</v>
      </c>
      <c r="B473" t="s">
        <v>1006</v>
      </c>
    </row>
    <row r="474" spans="1:2" x14ac:dyDescent="0.25">
      <c r="A474" t="s">
        <v>1073</v>
      </c>
      <c r="B474" t="s">
        <v>1073</v>
      </c>
    </row>
    <row r="475" spans="1:2" x14ac:dyDescent="0.25">
      <c r="A475" t="s">
        <v>1105</v>
      </c>
      <c r="B475" t="s">
        <v>1105</v>
      </c>
    </row>
    <row r="476" spans="1:2" x14ac:dyDescent="0.25">
      <c r="A476" t="s">
        <v>1030</v>
      </c>
      <c r="B476" t="s">
        <v>1030</v>
      </c>
    </row>
    <row r="477" spans="1:2" x14ac:dyDescent="0.25">
      <c r="A477" t="s">
        <v>1033</v>
      </c>
      <c r="B477" t="s">
        <v>1033</v>
      </c>
    </row>
    <row r="478" spans="1:2" x14ac:dyDescent="0.25">
      <c r="A478" t="s">
        <v>1034</v>
      </c>
      <c r="B478" t="s">
        <v>1034</v>
      </c>
    </row>
    <row r="479" spans="1:2" x14ac:dyDescent="0.25">
      <c r="A479" t="s">
        <v>1036</v>
      </c>
      <c r="B479" t="s">
        <v>1036</v>
      </c>
    </row>
    <row r="480" spans="1:2" x14ac:dyDescent="0.25">
      <c r="A480" t="s">
        <v>1037</v>
      </c>
      <c r="B480" t="s">
        <v>1037</v>
      </c>
    </row>
    <row r="481" spans="1:2" x14ac:dyDescent="0.25">
      <c r="A481" t="s">
        <v>1040</v>
      </c>
      <c r="B481" t="s">
        <v>1040</v>
      </c>
    </row>
    <row r="482" spans="1:2" x14ac:dyDescent="0.25">
      <c r="A482" t="s">
        <v>1041</v>
      </c>
      <c r="B482" t="s">
        <v>1041</v>
      </c>
    </row>
    <row r="483" spans="1:2" x14ac:dyDescent="0.25">
      <c r="A483" t="s">
        <v>1043</v>
      </c>
      <c r="B483" t="s">
        <v>1043</v>
      </c>
    </row>
    <row r="484" spans="1:2" x14ac:dyDescent="0.25">
      <c r="A484" t="s">
        <v>1045</v>
      </c>
      <c r="B484" t="s">
        <v>1045</v>
      </c>
    </row>
    <row r="485" spans="1:2" x14ac:dyDescent="0.25">
      <c r="A485" t="s">
        <v>1047</v>
      </c>
      <c r="B485" t="s">
        <v>1047</v>
      </c>
    </row>
    <row r="486" spans="1:2" x14ac:dyDescent="0.25">
      <c r="A486" t="s">
        <v>1049</v>
      </c>
      <c r="B486" t="s">
        <v>1049</v>
      </c>
    </row>
    <row r="487" spans="1:2" x14ac:dyDescent="0.25">
      <c r="A487" t="s">
        <v>1053</v>
      </c>
      <c r="B487" t="s">
        <v>1053</v>
      </c>
    </row>
    <row r="488" spans="1:2" x14ac:dyDescent="0.25">
      <c r="A488" t="s">
        <v>1061</v>
      </c>
      <c r="B488" t="s">
        <v>1061</v>
      </c>
    </row>
    <row r="489" spans="1:2" x14ac:dyDescent="0.25">
      <c r="A489" t="s">
        <v>1069</v>
      </c>
      <c r="B489" t="s">
        <v>1069</v>
      </c>
    </row>
    <row r="490" spans="1:2" x14ac:dyDescent="0.25">
      <c r="A490" t="s">
        <v>1072</v>
      </c>
      <c r="B490" t="s">
        <v>1072</v>
      </c>
    </row>
    <row r="491" spans="1:2" x14ac:dyDescent="0.25">
      <c r="A491" t="s">
        <v>1079</v>
      </c>
      <c r="B491" t="s">
        <v>1079</v>
      </c>
    </row>
    <row r="492" spans="1:2" x14ac:dyDescent="0.25">
      <c r="A492" t="s">
        <v>1082</v>
      </c>
      <c r="B492" t="s">
        <v>1082</v>
      </c>
    </row>
    <row r="493" spans="1:2" x14ac:dyDescent="0.25">
      <c r="A493" t="s">
        <v>1086</v>
      </c>
      <c r="B493" t="s">
        <v>1086</v>
      </c>
    </row>
    <row r="494" spans="1:2" x14ac:dyDescent="0.25">
      <c r="A494" t="s">
        <v>1142</v>
      </c>
      <c r="B494" t="s">
        <v>1142</v>
      </c>
    </row>
    <row r="495" spans="1:2" x14ac:dyDescent="0.25">
      <c r="A495" t="s">
        <v>1090</v>
      </c>
      <c r="B495" t="s">
        <v>1090</v>
      </c>
    </row>
    <row r="496" spans="1:2" x14ac:dyDescent="0.25">
      <c r="A496" t="s">
        <v>1119</v>
      </c>
      <c r="B496" t="s">
        <v>1119</v>
      </c>
    </row>
    <row r="497" spans="1:2" x14ac:dyDescent="0.25">
      <c r="A497" t="s">
        <v>1092</v>
      </c>
      <c r="B497" t="s">
        <v>1092</v>
      </c>
    </row>
    <row r="498" spans="1:2" x14ac:dyDescent="0.25">
      <c r="A498" t="s">
        <v>1094</v>
      </c>
      <c r="B498" t="s">
        <v>1094</v>
      </c>
    </row>
    <row r="499" spans="1:2" x14ac:dyDescent="0.25">
      <c r="A499" t="s">
        <v>1096</v>
      </c>
      <c r="B499" t="s">
        <v>1096</v>
      </c>
    </row>
    <row r="500" spans="1:2" x14ac:dyDescent="0.25">
      <c r="A500" t="s">
        <v>1099</v>
      </c>
      <c r="B500" t="s">
        <v>1099</v>
      </c>
    </row>
    <row r="501" spans="1:2" x14ac:dyDescent="0.25">
      <c r="A501" t="s">
        <v>1101</v>
      </c>
      <c r="B501" t="s">
        <v>1101</v>
      </c>
    </row>
    <row r="502" spans="1:2" x14ac:dyDescent="0.25">
      <c r="A502" t="s">
        <v>1102</v>
      </c>
      <c r="B502" t="s">
        <v>1102</v>
      </c>
    </row>
    <row r="503" spans="1:2" x14ac:dyDescent="0.25">
      <c r="A503" t="s">
        <v>1104</v>
      </c>
      <c r="B503" t="s">
        <v>1104</v>
      </c>
    </row>
    <row r="504" spans="1:2" x14ac:dyDescent="0.25">
      <c r="A504" t="s">
        <v>1108</v>
      </c>
      <c r="B504" t="s">
        <v>1108</v>
      </c>
    </row>
    <row r="505" spans="1:2" x14ac:dyDescent="0.25">
      <c r="A505" t="s">
        <v>1110</v>
      </c>
      <c r="B505" t="s">
        <v>1110</v>
      </c>
    </row>
    <row r="506" spans="1:2" x14ac:dyDescent="0.25">
      <c r="A506" t="s">
        <v>1111</v>
      </c>
      <c r="B506" t="s">
        <v>1111</v>
      </c>
    </row>
    <row r="507" spans="1:2" x14ac:dyDescent="0.25">
      <c r="A507" t="s">
        <v>1113</v>
      </c>
      <c r="B507" t="s">
        <v>1113</v>
      </c>
    </row>
    <row r="508" spans="1:2" x14ac:dyDescent="0.25">
      <c r="A508" t="s">
        <v>1168</v>
      </c>
      <c r="B508" t="s">
        <v>1168</v>
      </c>
    </row>
    <row r="509" spans="1:2" x14ac:dyDescent="0.25">
      <c r="A509" t="s">
        <v>1121</v>
      </c>
      <c r="B509" t="s">
        <v>1121</v>
      </c>
    </row>
    <row r="510" spans="1:2" x14ac:dyDescent="0.25">
      <c r="A510" t="s">
        <v>1123</v>
      </c>
      <c r="B510" t="s">
        <v>1123</v>
      </c>
    </row>
    <row r="511" spans="1:2" x14ac:dyDescent="0.25">
      <c r="A511" t="s">
        <v>1126</v>
      </c>
      <c r="B511" t="s">
        <v>1126</v>
      </c>
    </row>
    <row r="512" spans="1:2" x14ac:dyDescent="0.25">
      <c r="A512" t="s">
        <v>1128</v>
      </c>
      <c r="B512" t="s">
        <v>1128</v>
      </c>
    </row>
    <row r="513" spans="1:2" x14ac:dyDescent="0.25">
      <c r="A513" t="s">
        <v>1130</v>
      </c>
      <c r="B513" t="s">
        <v>1130</v>
      </c>
    </row>
    <row r="514" spans="1:2" x14ac:dyDescent="0.25">
      <c r="A514" t="s">
        <v>1131</v>
      </c>
      <c r="B514" t="s">
        <v>1131</v>
      </c>
    </row>
    <row r="515" spans="1:2" x14ac:dyDescent="0.25">
      <c r="A515" t="s">
        <v>1133</v>
      </c>
      <c r="B515" t="s">
        <v>1133</v>
      </c>
    </row>
    <row r="516" spans="1:2" x14ac:dyDescent="0.25">
      <c r="A516" t="s">
        <v>1135</v>
      </c>
      <c r="B516" t="s">
        <v>1135</v>
      </c>
    </row>
    <row r="517" spans="1:2" x14ac:dyDescent="0.25">
      <c r="A517" t="s">
        <v>1137</v>
      </c>
      <c r="B517" t="s">
        <v>1137</v>
      </c>
    </row>
    <row r="518" spans="1:2" x14ac:dyDescent="0.25">
      <c r="A518" t="s">
        <v>1139</v>
      </c>
      <c r="B518" t="s">
        <v>1139</v>
      </c>
    </row>
    <row r="519" spans="1:2" x14ac:dyDescent="0.25">
      <c r="A519" t="s">
        <v>1144</v>
      </c>
      <c r="B519" t="s">
        <v>1144</v>
      </c>
    </row>
    <row r="520" spans="1:2" x14ac:dyDescent="0.25">
      <c r="A520" t="s">
        <v>1145</v>
      </c>
      <c r="B520" t="s">
        <v>1145</v>
      </c>
    </row>
    <row r="521" spans="1:2" x14ac:dyDescent="0.25">
      <c r="A521" t="s">
        <v>1147</v>
      </c>
      <c r="B521" t="s">
        <v>1147</v>
      </c>
    </row>
    <row r="522" spans="1:2" x14ac:dyDescent="0.25">
      <c r="A522" t="s">
        <v>1149</v>
      </c>
      <c r="B522" t="s">
        <v>1149</v>
      </c>
    </row>
    <row r="523" spans="1:2" x14ac:dyDescent="0.25">
      <c r="A523" t="s">
        <v>1151</v>
      </c>
      <c r="B523" t="s">
        <v>1151</v>
      </c>
    </row>
    <row r="524" spans="1:2" x14ac:dyDescent="0.25">
      <c r="A524" t="s">
        <v>1152</v>
      </c>
      <c r="B524" t="s">
        <v>1152</v>
      </c>
    </row>
    <row r="525" spans="1:2" x14ac:dyDescent="0.25">
      <c r="A525" t="s">
        <v>1154</v>
      </c>
      <c r="B525" t="s">
        <v>1154</v>
      </c>
    </row>
    <row r="526" spans="1:2" x14ac:dyDescent="0.25">
      <c r="A526" t="s">
        <v>1155</v>
      </c>
      <c r="B526" t="s">
        <v>1155</v>
      </c>
    </row>
    <row r="527" spans="1:2" x14ac:dyDescent="0.25">
      <c r="A527" t="s">
        <v>1157</v>
      </c>
      <c r="B527" t="s">
        <v>1157</v>
      </c>
    </row>
    <row r="528" spans="1:2" x14ac:dyDescent="0.25">
      <c r="A528" t="s">
        <v>1159</v>
      </c>
      <c r="B528" t="s">
        <v>1159</v>
      </c>
    </row>
    <row r="529" spans="1:2" x14ac:dyDescent="0.25">
      <c r="A529" t="s">
        <v>1162</v>
      </c>
      <c r="B529" t="s">
        <v>1162</v>
      </c>
    </row>
    <row r="530" spans="1:2" x14ac:dyDescent="0.25">
      <c r="A530" t="s">
        <v>1163</v>
      </c>
      <c r="B530" t="s">
        <v>1163</v>
      </c>
    </row>
    <row r="531" spans="1:2" x14ac:dyDescent="0.25">
      <c r="A531" t="s">
        <v>1165</v>
      </c>
      <c r="B531" t="s">
        <v>1165</v>
      </c>
    </row>
    <row r="532" spans="1:2" x14ac:dyDescent="0.25">
      <c r="A532" t="s">
        <v>1205</v>
      </c>
      <c r="B532" t="s">
        <v>1205</v>
      </c>
    </row>
    <row r="533" spans="1:2" x14ac:dyDescent="0.25">
      <c r="A533" t="s">
        <v>1167</v>
      </c>
      <c r="B533" t="s">
        <v>1167</v>
      </c>
    </row>
    <row r="534" spans="1:2" x14ac:dyDescent="0.25">
      <c r="A534" t="s">
        <v>1062</v>
      </c>
      <c r="B534" t="s">
        <v>1062</v>
      </c>
    </row>
    <row r="535" spans="1:2" x14ac:dyDescent="0.25">
      <c r="A535" t="s">
        <v>1182</v>
      </c>
      <c r="B535" t="s">
        <v>1182</v>
      </c>
    </row>
    <row r="536" spans="1:2" x14ac:dyDescent="0.25">
      <c r="A536" t="s">
        <v>1173</v>
      </c>
      <c r="B536" t="s">
        <v>1173</v>
      </c>
    </row>
    <row r="537" spans="1:2" x14ac:dyDescent="0.25">
      <c r="A537" t="s">
        <v>1175</v>
      </c>
      <c r="B537" t="s">
        <v>1175</v>
      </c>
    </row>
    <row r="538" spans="1:2" x14ac:dyDescent="0.25">
      <c r="A538" t="s">
        <v>1177</v>
      </c>
      <c r="B538" t="s">
        <v>1177</v>
      </c>
    </row>
    <row r="539" spans="1:2" x14ac:dyDescent="0.25">
      <c r="A539" t="s">
        <v>1179</v>
      </c>
      <c r="B539" t="s">
        <v>1179</v>
      </c>
    </row>
    <row r="540" spans="1:2" x14ac:dyDescent="0.25">
      <c r="A540" t="s">
        <v>1184</v>
      </c>
      <c r="B540" t="s">
        <v>1184</v>
      </c>
    </row>
    <row r="541" spans="1:2" x14ac:dyDescent="0.25">
      <c r="A541" t="s">
        <v>1186</v>
      </c>
      <c r="B541" t="s">
        <v>1186</v>
      </c>
    </row>
    <row r="542" spans="1:2" x14ac:dyDescent="0.25">
      <c r="A542" t="s">
        <v>1188</v>
      </c>
      <c r="B542" t="s">
        <v>1188</v>
      </c>
    </row>
    <row r="543" spans="1:2" x14ac:dyDescent="0.25">
      <c r="A543" t="s">
        <v>1190</v>
      </c>
      <c r="B543" t="s">
        <v>1190</v>
      </c>
    </row>
    <row r="544" spans="1:2" x14ac:dyDescent="0.25">
      <c r="A544" t="s">
        <v>1192</v>
      </c>
      <c r="B544" t="s">
        <v>1192</v>
      </c>
    </row>
    <row r="545" spans="1:2" x14ac:dyDescent="0.25">
      <c r="A545" t="s">
        <v>1193</v>
      </c>
      <c r="B545" t="s">
        <v>1193</v>
      </c>
    </row>
    <row r="546" spans="1:2" x14ac:dyDescent="0.25">
      <c r="A546" t="s">
        <v>1194</v>
      </c>
      <c r="B546" t="s">
        <v>1194</v>
      </c>
    </row>
    <row r="547" spans="1:2" x14ac:dyDescent="0.25">
      <c r="A547" t="s">
        <v>1196</v>
      </c>
      <c r="B547" t="s">
        <v>1196</v>
      </c>
    </row>
    <row r="548" spans="1:2" x14ac:dyDescent="0.25">
      <c r="A548" t="s">
        <v>1198</v>
      </c>
      <c r="B548" t="s">
        <v>1198</v>
      </c>
    </row>
    <row r="549" spans="1:2" x14ac:dyDescent="0.25">
      <c r="A549" t="s">
        <v>1200</v>
      </c>
      <c r="B549" t="s">
        <v>1200</v>
      </c>
    </row>
    <row r="550" spans="1:2" x14ac:dyDescent="0.25">
      <c r="A550" t="s">
        <v>1202</v>
      </c>
      <c r="B550" t="s">
        <v>1202</v>
      </c>
    </row>
    <row r="551" spans="1:2" x14ac:dyDescent="0.25">
      <c r="A551" t="s">
        <v>1204</v>
      </c>
      <c r="B551" t="s">
        <v>1204</v>
      </c>
    </row>
    <row r="552" spans="1:2" x14ac:dyDescent="0.25">
      <c r="A552" t="s">
        <v>1153</v>
      </c>
      <c r="B552" t="s">
        <v>1153</v>
      </c>
    </row>
    <row r="553" spans="1:2" x14ac:dyDescent="0.25">
      <c r="A553" t="s">
        <v>243</v>
      </c>
      <c r="B553" t="s">
        <v>243</v>
      </c>
    </row>
    <row r="554" spans="1:2" x14ac:dyDescent="0.25">
      <c r="A554" t="s">
        <v>1170</v>
      </c>
      <c r="B554" t="s">
        <v>1170</v>
      </c>
    </row>
    <row r="555" spans="1:2" x14ac:dyDescent="0.25">
      <c r="A555" t="s">
        <v>1115</v>
      </c>
      <c r="B555" t="s">
        <v>1115</v>
      </c>
    </row>
    <row r="556" spans="1:2" x14ac:dyDescent="0.25">
      <c r="A556" t="s">
        <v>1116</v>
      </c>
      <c r="B556" t="s">
        <v>1116</v>
      </c>
    </row>
    <row r="557" spans="1:2" x14ac:dyDescent="0.25">
      <c r="A557" t="s">
        <v>1141</v>
      </c>
      <c r="B557" t="s">
        <v>1141</v>
      </c>
    </row>
    <row r="558" spans="1:2" x14ac:dyDescent="0.25">
      <c r="A558" t="s">
        <v>1091</v>
      </c>
      <c r="B558" t="s">
        <v>1091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90"/>
  <sheetViews>
    <sheetView tabSelected="1" zoomScale="80" zoomScaleNormal="80" workbookViewId="0">
      <pane ySplit="1" topLeftCell="A567" activePane="bottomLeft" state="frozen"/>
      <selection activeCell="A11" sqref="A11"/>
      <selection pane="bottomLeft" activeCell="B498" sqref="B498"/>
    </sheetView>
  </sheetViews>
  <sheetFormatPr baseColWidth="10" defaultRowHeight="15" x14ac:dyDescent="0.25"/>
  <cols>
    <col min="1" max="1" width="106" bestFit="1" customWidth="1"/>
    <col min="2" max="2" width="17.7109375" bestFit="1" customWidth="1"/>
    <col min="3" max="3" width="30.28515625" bestFit="1" customWidth="1"/>
    <col min="4" max="4" width="24.5703125" bestFit="1" customWidth="1"/>
    <col min="5" max="5" width="39.140625" bestFit="1" customWidth="1"/>
    <col min="8" max="8" width="18.140625" bestFit="1" customWidth="1"/>
    <col min="9" max="9" width="106" bestFit="1" customWidth="1"/>
    <col min="10" max="10" width="24.5703125" bestFit="1" customWidth="1"/>
    <col min="11" max="11" width="56.7109375" bestFit="1" customWidth="1"/>
    <col min="12" max="12" width="7.140625" bestFit="1" customWidth="1"/>
    <col min="13" max="13" width="24.5703125" customWidth="1"/>
    <col min="14" max="14" width="14.140625" customWidth="1"/>
    <col min="15" max="15" width="23.7109375" bestFit="1" customWidth="1"/>
    <col min="18" max="18" width="16.85546875" bestFit="1" customWidth="1"/>
    <col min="19" max="19" width="101" bestFit="1" customWidth="1"/>
    <col min="20" max="20" width="23" bestFit="1" customWidth="1"/>
    <col min="23" max="23" width="56" customWidth="1"/>
    <col min="24" max="24" width="16.5703125" bestFit="1" customWidth="1"/>
    <col min="25" max="25" width="30.28515625" bestFit="1" customWidth="1"/>
    <col min="26" max="26" width="36.28515625" bestFit="1" customWidth="1"/>
  </cols>
  <sheetData>
    <row r="1" spans="1:27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O1" t="s">
        <v>10</v>
      </c>
      <c r="R1" t="s">
        <v>5</v>
      </c>
      <c r="S1" t="s">
        <v>6</v>
      </c>
      <c r="T1" t="s">
        <v>7</v>
      </c>
      <c r="W1" s="9" t="s">
        <v>11</v>
      </c>
      <c r="X1" s="9" t="s">
        <v>12</v>
      </c>
      <c r="Y1" s="9" t="s">
        <v>13</v>
      </c>
      <c r="Z1" s="10" t="s">
        <v>8</v>
      </c>
      <c r="AA1" s="12" t="s">
        <v>14</v>
      </c>
    </row>
    <row r="2" spans="1:27" x14ac:dyDescent="0.25">
      <c r="A2" s="30" t="s">
        <v>15</v>
      </c>
      <c r="B2" s="30" t="s">
        <v>16</v>
      </c>
      <c r="C2" s="30" t="s">
        <v>17</v>
      </c>
      <c r="D2" s="30" t="str" cm="1">
        <f t="array" ref="D2">UPPER(_xlfn.XLOOKUP(Loockup_ObrasGerencia[[#This Row],[OBRA_PRONTO]],Tabla7[[#All],[Obra]],Tabla7[[#All],[Gerente de obra]],"Sin Obra Asignada",0))</f>
        <v>ORTIZ JUAN MANUEL</v>
      </c>
      <c r="E2" s="31" t="str">
        <f>Loockup_ObrasGerencia[[#This Row],[OBRA_PRONTO]]&amp;Loockup_ObrasGerencia[[#This Row],[GERENCIA]]</f>
        <v>00000001ORTIZ JUAN MANUEL</v>
      </c>
      <c r="H2" t="s">
        <v>16</v>
      </c>
      <c r="I2" t="s">
        <v>15</v>
      </c>
      <c r="J2" t="s">
        <v>18</v>
      </c>
      <c r="K2" t="str">
        <f>Tabla7[[#This Row],[Obra]]&amp;Tabla7[[#This Row],[Gerente de obra]]</f>
        <v>00000001Ortiz Juan Manuel</v>
      </c>
      <c r="L2">
        <f>MATCH(Tabla7[[#This Row],[AUX]],Loockup_ObrasGerencia[[#All],[aux]],0)</f>
        <v>2</v>
      </c>
      <c r="O2" t="str">
        <f>UPPER(GERENCIAS[[#This Row],[Gerente de obra]])</f>
        <v>ORTIZ JUAN MANUEL</v>
      </c>
      <c r="R2" t="s">
        <v>16</v>
      </c>
      <c r="S2" t="s">
        <v>15</v>
      </c>
      <c r="T2" t="s">
        <v>19</v>
      </c>
      <c r="W2" s="8" t="s">
        <v>15</v>
      </c>
      <c r="X2" s="8" t="s">
        <v>16</v>
      </c>
      <c r="Y2" s="8" t="s">
        <v>17</v>
      </c>
      <c r="Z2" t="str">
        <f t="shared" ref="Z2:Z65" si="0">X2&amp;Y2</f>
        <v>00000001SI</v>
      </c>
      <c r="AA2" s="11" t="e">
        <f>MATCH(Tabla9[[#This Row],[AUX]],Loockup_ObrasGerencia[[#All],[aux]],0)</f>
        <v>#N/A</v>
      </c>
    </row>
    <row r="3" spans="1:27" x14ac:dyDescent="0.25">
      <c r="A3" s="30" t="s">
        <v>20</v>
      </c>
      <c r="B3" s="30" t="s">
        <v>21</v>
      </c>
      <c r="C3" s="30" t="s">
        <v>17</v>
      </c>
      <c r="D3" s="30" t="str" cm="1">
        <f t="array" ref="D3">UPPER(_xlfn.XLOOKUP(Loockup_ObrasGerencia[[#This Row],[OBRA_PRONTO]],Tabla7[[#All],[Obra]],Tabla7[[#All],[Gerente de obra]],"Sin Obra Asignada",0))</f>
        <v>ORTIZ JUAN MANUEL</v>
      </c>
      <c r="E3" s="31" t="str">
        <f>Loockup_ObrasGerencia[[#This Row],[OBRA_PRONTO]]&amp;Loockup_ObrasGerencia[[#This Row],[GERENCIA]]</f>
        <v>00000002ORTIZ JUAN MANUEL</v>
      </c>
      <c r="H3" t="s">
        <v>21</v>
      </c>
      <c r="I3" t="s">
        <v>20</v>
      </c>
      <c r="J3" t="s">
        <v>18</v>
      </c>
      <c r="K3" t="str">
        <f>Tabla7[[#This Row],[Obra]]&amp;Tabla7[[#This Row],[Gerente de obra]]</f>
        <v>00000002Ortiz Juan Manuel</v>
      </c>
      <c r="L3">
        <f>MATCH(Tabla7[[#This Row],[AUX]],Loockup_ObrasGerencia[[#All],[aux]],0)</f>
        <v>3</v>
      </c>
      <c r="O3" t="str">
        <f>UPPER(GERENCIAS[[#This Row],[Gerente de obra]])</f>
        <v>ORTIZ JUAN MANUEL</v>
      </c>
      <c r="R3" t="s">
        <v>21</v>
      </c>
      <c r="S3" t="s">
        <v>20</v>
      </c>
      <c r="T3" t="s">
        <v>19</v>
      </c>
      <c r="W3" s="8" t="s">
        <v>20</v>
      </c>
      <c r="X3" s="8" t="s">
        <v>21</v>
      </c>
      <c r="Y3" s="8" t="s">
        <v>17</v>
      </c>
      <c r="Z3" t="str">
        <f t="shared" si="0"/>
        <v>00000002SI</v>
      </c>
      <c r="AA3" s="11" t="e">
        <f>MATCH(Tabla9[[#This Row],[AUX]],Loockup_ObrasGerencia[[#All],[aux]],0)</f>
        <v>#N/A</v>
      </c>
    </row>
    <row r="4" spans="1:27" x14ac:dyDescent="0.25">
      <c r="A4" s="32" t="s">
        <v>22</v>
      </c>
      <c r="B4" s="32" t="s">
        <v>23</v>
      </c>
      <c r="C4" s="32" t="s">
        <v>17</v>
      </c>
      <c r="D4" s="30" t="str" cm="1">
        <f t="array" ref="D4">UPPER(_xlfn.XLOOKUP(Loockup_ObrasGerencia[[#This Row],[OBRA_PRONTO]],Tabla7[[#All],[Obra]],Tabla7[[#All],[Gerente de obra]],"Sin Obra Asignada",0))</f>
        <v>TRUJILLO</v>
      </c>
      <c r="E4" s="31" t="str">
        <f>Loockup_ObrasGerencia[[#This Row],[OBRA_PRONTO]]&amp;Loockup_ObrasGerencia[[#This Row],[GERENCIA]]</f>
        <v>00000003TRUJILLO</v>
      </c>
      <c r="H4" t="s">
        <v>23</v>
      </c>
      <c r="I4" t="s">
        <v>22</v>
      </c>
      <c r="J4" t="s">
        <v>24</v>
      </c>
      <c r="K4" t="str">
        <f>Tabla7[[#This Row],[Obra]]&amp;Tabla7[[#This Row],[Gerente de obra]]</f>
        <v>00000003Trujillo</v>
      </c>
      <c r="L4">
        <f>MATCH(Tabla7[[#This Row],[AUX]],Loockup_ObrasGerencia[[#All],[aux]],0)</f>
        <v>4</v>
      </c>
      <c r="O4" t="str">
        <f>UPPER(GERENCIAS[[#This Row],[Gerente de obra]])</f>
        <v>TRUJILLO</v>
      </c>
      <c r="R4" t="s">
        <v>23</v>
      </c>
      <c r="S4" t="s">
        <v>22</v>
      </c>
      <c r="T4" t="s">
        <v>25</v>
      </c>
      <c r="W4" s="8" t="s">
        <v>22</v>
      </c>
      <c r="X4" s="8" t="s">
        <v>23</v>
      </c>
      <c r="Y4" s="8" t="s">
        <v>17</v>
      </c>
      <c r="Z4" t="str">
        <f t="shared" si="0"/>
        <v>00000003SI</v>
      </c>
      <c r="AA4" s="11" t="e">
        <f>MATCH(Tabla9[[#This Row],[AUX]],Loockup_ObrasGerencia[[#All],[aux]],0)</f>
        <v>#N/A</v>
      </c>
    </row>
    <row r="5" spans="1:27" x14ac:dyDescent="0.25">
      <c r="A5" s="32" t="s">
        <v>26</v>
      </c>
      <c r="B5" s="32" t="s">
        <v>27</v>
      </c>
      <c r="C5" s="32" t="s">
        <v>28</v>
      </c>
      <c r="D5" s="30" t="str" cm="1">
        <f t="array" ref="D5">UPPER(_xlfn.XLOOKUP(Loockup_ObrasGerencia[[#This Row],[OBRA_PRONTO]],Tabla7[[#All],[Obra]],Tabla7[[#All],[Gerente de obra]],"Sin Obra Asignada",0))</f>
        <v>DIEGO IBAÑEZ</v>
      </c>
      <c r="E5" s="31" t="str">
        <f>Loockup_ObrasGerencia[[#This Row],[OBRA_PRONTO]]&amp;Loockup_ObrasGerencia[[#This Row],[GERENCIA]]</f>
        <v>00000004DIEGO IBAÑEZ</v>
      </c>
      <c r="H5" t="s">
        <v>27</v>
      </c>
      <c r="I5" t="s">
        <v>26</v>
      </c>
      <c r="J5" t="s">
        <v>29</v>
      </c>
      <c r="K5" t="str">
        <f>Tabla7[[#This Row],[Obra]]&amp;Tabla7[[#This Row],[Gerente de obra]]</f>
        <v>00000004Diego Ibañez</v>
      </c>
      <c r="L5">
        <f>MATCH(Tabla7[[#This Row],[AUX]],Loockup_ObrasGerencia[[#All],[aux]],0)</f>
        <v>5</v>
      </c>
      <c r="O5" t="str">
        <f>UPPER(GERENCIAS[[#This Row],[Gerente de obra]])</f>
        <v>DIEGO IBAÑEZ</v>
      </c>
      <c r="R5" t="s">
        <v>27</v>
      </c>
      <c r="S5" t="s">
        <v>26</v>
      </c>
      <c r="T5" t="s">
        <v>30</v>
      </c>
      <c r="W5" s="8" t="s">
        <v>26</v>
      </c>
      <c r="X5" s="8" t="s">
        <v>27</v>
      </c>
      <c r="Y5" s="8" t="s">
        <v>28</v>
      </c>
      <c r="Z5" t="str">
        <f t="shared" si="0"/>
        <v>00000004COMPENSABLE TALLER</v>
      </c>
      <c r="AA5" s="11" t="e">
        <f>MATCH(Tabla9[[#This Row],[AUX]],Loockup_ObrasGerencia[[#All],[aux]],0)</f>
        <v>#N/A</v>
      </c>
    </row>
    <row r="6" spans="1:27" x14ac:dyDescent="0.25">
      <c r="A6" s="30" t="s">
        <v>31</v>
      </c>
      <c r="B6" s="30" t="s">
        <v>32</v>
      </c>
      <c r="C6" s="30" t="s">
        <v>33</v>
      </c>
      <c r="D6" s="30" t="str" cm="1">
        <f t="array" ref="D6">UPPER(_xlfn.XLOOKUP(Loockup_ObrasGerencia[[#This Row],[OBRA_PRONTO]],Tabla7[[#All],[Obra]],Tabla7[[#All],[Gerente de obra]],"Sin Obra Asignada",0))</f>
        <v>CALDERON JUAN IGNACIO</v>
      </c>
      <c r="E6" s="31" t="str">
        <f>Loockup_ObrasGerencia[[#This Row],[OBRA_PRONTO]]&amp;Loockup_ObrasGerencia[[#This Row],[GERENCIA]]</f>
        <v>00000005CALDERON JUAN IGNACIO</v>
      </c>
      <c r="H6" t="s">
        <v>32</v>
      </c>
      <c r="I6" t="s">
        <v>31</v>
      </c>
      <c r="J6" t="s">
        <v>34</v>
      </c>
      <c r="K6" t="str">
        <f>Tabla7[[#This Row],[Obra]]&amp;Tabla7[[#This Row],[Gerente de obra]]</f>
        <v>00000005Calderon Juan Ignacio</v>
      </c>
      <c r="L6">
        <f>MATCH(Tabla7[[#This Row],[AUX]],Loockup_ObrasGerencia[[#All],[aux]],0)</f>
        <v>6</v>
      </c>
      <c r="O6" t="str">
        <f>UPPER(GERENCIAS[[#This Row],[Gerente de obra]])</f>
        <v>CALDERON JUAN IGNACIO</v>
      </c>
      <c r="R6" t="s">
        <v>32</v>
      </c>
      <c r="S6" t="s">
        <v>31</v>
      </c>
      <c r="T6" t="s">
        <v>35</v>
      </c>
      <c r="W6" s="8" t="s">
        <v>31</v>
      </c>
      <c r="X6" s="8" t="s">
        <v>32</v>
      </c>
      <c r="Y6" s="8" t="s">
        <v>33</v>
      </c>
      <c r="Z6" t="str">
        <f t="shared" si="0"/>
        <v>00000005COMPENSABLE BRIC</v>
      </c>
      <c r="AA6" s="11" t="e">
        <f>MATCH(Tabla9[[#This Row],[AUX]],Loockup_ObrasGerencia[[#All],[aux]],0)</f>
        <v>#N/A</v>
      </c>
    </row>
    <row r="7" spans="1:27" x14ac:dyDescent="0.25">
      <c r="A7" s="30" t="s">
        <v>36</v>
      </c>
      <c r="B7" s="30" t="s">
        <v>37</v>
      </c>
      <c r="C7" s="30" t="s">
        <v>17</v>
      </c>
      <c r="D7" s="30" t="str" cm="1">
        <f t="array" ref="D7">UPPER(_xlfn.XLOOKUP(Loockup_ObrasGerencia[[#This Row],[OBRA_PRONTO]],Tabla7[[#All],[Obra]],Tabla7[[#All],[Gerente de obra]],"Sin Obra Asignada",0))</f>
        <v>ORTIZ JUAN MANUEL</v>
      </c>
      <c r="E7" s="31" t="str">
        <f>Loockup_ObrasGerencia[[#This Row],[OBRA_PRONTO]]&amp;Loockup_ObrasGerencia[[#This Row],[GERENCIA]]</f>
        <v>00000006ORTIZ JUAN MANUEL</v>
      </c>
      <c r="H7" t="s">
        <v>37</v>
      </c>
      <c r="I7" t="s">
        <v>36</v>
      </c>
      <c r="J7" t="s">
        <v>18</v>
      </c>
      <c r="K7" t="str">
        <f>Tabla7[[#This Row],[Obra]]&amp;Tabla7[[#This Row],[Gerente de obra]]</f>
        <v>00000006Ortiz Juan Manuel</v>
      </c>
      <c r="L7">
        <f>MATCH(Tabla7[[#This Row],[AUX]],Loockup_ObrasGerencia[[#All],[aux]],0)</f>
        <v>7</v>
      </c>
      <c r="O7" t="str">
        <f>UPPER(GERENCIAS[[#This Row],[Gerente de obra]])</f>
        <v>ORTIZ JUAN MANUEL</v>
      </c>
      <c r="R7" t="s">
        <v>37</v>
      </c>
      <c r="S7" t="s">
        <v>36</v>
      </c>
      <c r="T7" t="s">
        <v>19</v>
      </c>
      <c r="W7" s="8" t="s">
        <v>36</v>
      </c>
      <c r="X7" s="8" t="s">
        <v>37</v>
      </c>
      <c r="Y7" s="8" t="s">
        <v>17</v>
      </c>
      <c r="Z7" t="str">
        <f t="shared" si="0"/>
        <v>00000006SI</v>
      </c>
      <c r="AA7" s="11" t="e">
        <f>MATCH(Tabla9[[#This Row],[AUX]],Loockup_ObrasGerencia[[#All],[aux]],0)</f>
        <v>#N/A</v>
      </c>
    </row>
    <row r="8" spans="1:27" x14ac:dyDescent="0.25">
      <c r="A8" s="30" t="s">
        <v>38</v>
      </c>
      <c r="B8" s="30" t="s">
        <v>39</v>
      </c>
      <c r="C8" s="30" t="s">
        <v>17</v>
      </c>
      <c r="D8" s="30" t="str" cm="1">
        <f t="array" ref="D8">UPPER(_xlfn.XLOOKUP(Loockup_ObrasGerencia[[#This Row],[OBRA_PRONTO]],Tabla7[[#All],[Obra]],Tabla7[[#All],[Gerente de obra]],"Sin Obra Asignada",0))</f>
        <v>ORTIZ JUAN MANUEL</v>
      </c>
      <c r="E8" s="31" t="str">
        <f>Loockup_ObrasGerencia[[#This Row],[OBRA_PRONTO]]&amp;Loockup_ObrasGerencia[[#This Row],[GERENCIA]]</f>
        <v>00000007ORTIZ JUAN MANUEL</v>
      </c>
      <c r="H8" t="s">
        <v>39</v>
      </c>
      <c r="I8" t="s">
        <v>38</v>
      </c>
      <c r="J8" t="s">
        <v>18</v>
      </c>
      <c r="K8" t="str">
        <f>Tabla7[[#This Row],[Obra]]&amp;Tabla7[[#This Row],[Gerente de obra]]</f>
        <v>00000007Ortiz Juan Manuel</v>
      </c>
      <c r="L8">
        <f>MATCH(Tabla7[[#This Row],[AUX]],Loockup_ObrasGerencia[[#All],[aux]],0)</f>
        <v>8</v>
      </c>
      <c r="O8" t="str">
        <f>UPPER(GERENCIAS[[#This Row],[Gerente de obra]])</f>
        <v>ORTIZ JUAN MANUEL</v>
      </c>
      <c r="R8" t="s">
        <v>39</v>
      </c>
      <c r="S8" t="s">
        <v>38</v>
      </c>
      <c r="T8" t="s">
        <v>19</v>
      </c>
      <c r="W8" s="8" t="s">
        <v>38</v>
      </c>
      <c r="X8" s="8" t="s">
        <v>39</v>
      </c>
      <c r="Y8" s="8" t="s">
        <v>17</v>
      </c>
      <c r="Z8" t="str">
        <f t="shared" si="0"/>
        <v>00000007SI</v>
      </c>
      <c r="AA8" s="11" t="e">
        <f>MATCH(Tabla9[[#This Row],[AUX]],Loockup_ObrasGerencia[[#All],[aux]],0)</f>
        <v>#N/A</v>
      </c>
    </row>
    <row r="9" spans="1:27" x14ac:dyDescent="0.25">
      <c r="A9" s="30" t="s">
        <v>40</v>
      </c>
      <c r="B9" s="30" t="s">
        <v>41</v>
      </c>
      <c r="C9" s="30" t="s">
        <v>17</v>
      </c>
      <c r="D9" s="30" t="str" cm="1">
        <f t="array" ref="D9">UPPER(_xlfn.XLOOKUP(Loockup_ObrasGerencia[[#This Row],[OBRA_PRONTO]],Tabla7[[#All],[Obra]],Tabla7[[#All],[Gerente de obra]],"Sin Obra Asignada",0))</f>
        <v>ORTIZ JUAN MANUEL</v>
      </c>
      <c r="E9" s="31" t="str">
        <f>Loockup_ObrasGerencia[[#This Row],[OBRA_PRONTO]]&amp;Loockup_ObrasGerencia[[#This Row],[GERENCIA]]</f>
        <v>00000008ORTIZ JUAN MANUEL</v>
      </c>
      <c r="H9" t="s">
        <v>41</v>
      </c>
      <c r="I9" t="s">
        <v>40</v>
      </c>
      <c r="J9" t="s">
        <v>18</v>
      </c>
      <c r="K9" t="str">
        <f>Tabla7[[#This Row],[Obra]]&amp;Tabla7[[#This Row],[Gerente de obra]]</f>
        <v>00000008Ortiz Juan Manuel</v>
      </c>
      <c r="L9">
        <f>MATCH(Tabla7[[#This Row],[AUX]],Loockup_ObrasGerencia[[#All],[aux]],0)</f>
        <v>9</v>
      </c>
      <c r="O9" t="str">
        <f>UPPER(GERENCIAS[[#This Row],[Gerente de obra]])</f>
        <v>ORTIZ JUAN MANUEL</v>
      </c>
      <c r="R9" t="s">
        <v>41</v>
      </c>
      <c r="S9" t="s">
        <v>40</v>
      </c>
      <c r="T9" t="s">
        <v>19</v>
      </c>
      <c r="W9" s="8" t="s">
        <v>40</v>
      </c>
      <c r="X9" s="8" t="s">
        <v>41</v>
      </c>
      <c r="Y9" s="8" t="s">
        <v>17</v>
      </c>
      <c r="Z9" t="str">
        <f t="shared" si="0"/>
        <v>00000008SI</v>
      </c>
      <c r="AA9" s="11" t="e">
        <f>MATCH(Tabla9[[#This Row],[AUX]],Loockup_ObrasGerencia[[#All],[aux]],0)</f>
        <v>#N/A</v>
      </c>
    </row>
    <row r="10" spans="1:27" x14ac:dyDescent="0.25">
      <c r="A10" s="30" t="s">
        <v>42</v>
      </c>
      <c r="B10" s="30" t="s">
        <v>43</v>
      </c>
      <c r="C10" s="30" t="s">
        <v>17</v>
      </c>
      <c r="D10" s="30" t="str" cm="1">
        <f t="array" ref="D10">UPPER(_xlfn.XLOOKUP(Loockup_ObrasGerencia[[#This Row],[OBRA_PRONTO]],Tabla7[[#All],[Obra]],Tabla7[[#All],[Gerente de obra]],"Sin Obra Asignada",0))</f>
        <v>ORTIZ JUAN MANUEL</v>
      </c>
      <c r="E10" s="31" t="str">
        <f>Loockup_ObrasGerencia[[#This Row],[OBRA_PRONTO]]&amp;Loockup_ObrasGerencia[[#This Row],[GERENCIA]]</f>
        <v>00000009ORTIZ JUAN MANUEL</v>
      </c>
      <c r="H10" t="s">
        <v>43</v>
      </c>
      <c r="I10" t="s">
        <v>42</v>
      </c>
      <c r="J10" t="s">
        <v>18</v>
      </c>
      <c r="K10" t="str">
        <f>Tabla7[[#This Row],[Obra]]&amp;Tabla7[[#This Row],[Gerente de obra]]</f>
        <v>00000009Ortiz Juan Manuel</v>
      </c>
      <c r="L10">
        <f>MATCH(Tabla7[[#This Row],[AUX]],Loockup_ObrasGerencia[[#All],[aux]],0)</f>
        <v>10</v>
      </c>
      <c r="O10" t="str">
        <f>UPPER(GERENCIAS[[#This Row],[Gerente de obra]])</f>
        <v>ORTIZ JUAN MANUEL</v>
      </c>
      <c r="R10" t="s">
        <v>43</v>
      </c>
      <c r="S10" t="s">
        <v>42</v>
      </c>
      <c r="T10" t="s">
        <v>19</v>
      </c>
      <c r="W10" s="8" t="s">
        <v>42</v>
      </c>
      <c r="X10" s="8" t="s">
        <v>43</v>
      </c>
      <c r="Y10" s="8" t="s">
        <v>17</v>
      </c>
      <c r="Z10" t="str">
        <f t="shared" si="0"/>
        <v>00000009SI</v>
      </c>
      <c r="AA10" s="11" t="e">
        <f>MATCH(Tabla9[[#This Row],[AUX]],Loockup_ObrasGerencia[[#All],[aux]],0)</f>
        <v>#N/A</v>
      </c>
    </row>
    <row r="11" spans="1:27" x14ac:dyDescent="0.25">
      <c r="A11" s="30" t="s">
        <v>44</v>
      </c>
      <c r="B11" s="30" t="s">
        <v>45</v>
      </c>
      <c r="C11" s="30" t="s">
        <v>17</v>
      </c>
      <c r="D11" s="30" t="str" cm="1">
        <f t="array" ref="D11">UPPER(_xlfn.XLOOKUP(Loockup_ObrasGerencia[[#This Row],[OBRA_PRONTO]],Tabla7[[#All],[Obra]],Tabla7[[#All],[Gerente de obra]],"Sin Obra Asignada",0))</f>
        <v>CALDERON JUAN IGNACIO</v>
      </c>
      <c r="E11" s="31" t="str">
        <f>Loockup_ObrasGerencia[[#This Row],[OBRA_PRONTO]]&amp;Loockup_ObrasGerencia[[#This Row],[GERENCIA]]</f>
        <v>00000010CALDERON JUAN IGNACIO</v>
      </c>
      <c r="H11" t="s">
        <v>45</v>
      </c>
      <c r="I11" t="s">
        <v>44</v>
      </c>
      <c r="J11" t="s">
        <v>34</v>
      </c>
      <c r="K11" t="str">
        <f>Tabla7[[#This Row],[Obra]]&amp;Tabla7[[#This Row],[Gerente de obra]]</f>
        <v>00000010Calderon Juan Ignacio</v>
      </c>
      <c r="L11">
        <f>MATCH(Tabla7[[#This Row],[AUX]],Loockup_ObrasGerencia[[#All],[aux]],0)</f>
        <v>11</v>
      </c>
      <c r="O11" t="str">
        <f>UPPER(GERENCIAS[[#This Row],[Gerente de obra]])</f>
        <v>CALDERON JUAN IGNACIO</v>
      </c>
      <c r="R11" t="s">
        <v>45</v>
      </c>
      <c r="S11" t="s">
        <v>44</v>
      </c>
      <c r="T11" t="s">
        <v>35</v>
      </c>
      <c r="W11" s="8" t="s">
        <v>44</v>
      </c>
      <c r="X11" s="8" t="s">
        <v>45</v>
      </c>
      <c r="Y11" s="8" t="s">
        <v>17</v>
      </c>
      <c r="Z11" t="str">
        <f t="shared" si="0"/>
        <v>00000010SI</v>
      </c>
      <c r="AA11" s="11" t="e">
        <f>MATCH(Tabla9[[#This Row],[AUX]],Loockup_ObrasGerencia[[#All],[aux]],0)</f>
        <v>#N/A</v>
      </c>
    </row>
    <row r="12" spans="1:27" x14ac:dyDescent="0.25">
      <c r="A12" s="30" t="s">
        <v>46</v>
      </c>
      <c r="B12" s="30" t="s">
        <v>47</v>
      </c>
      <c r="C12" s="30" t="s">
        <v>17</v>
      </c>
      <c r="D12" s="30" t="str" cm="1">
        <f t="array" ref="D12">UPPER(_xlfn.XLOOKUP(Loockup_ObrasGerencia[[#This Row],[OBRA_PRONTO]],Tabla7[[#All],[Obra]],Tabla7[[#All],[Gerente de obra]],"Sin Obra Asignada",0))</f>
        <v>ORTIZ JUAN MANUEL</v>
      </c>
      <c r="E12" s="31" t="str">
        <f>Loockup_ObrasGerencia[[#This Row],[OBRA_PRONTO]]&amp;Loockup_ObrasGerencia[[#This Row],[GERENCIA]]</f>
        <v>00000011ORTIZ JUAN MANUEL</v>
      </c>
      <c r="H12" t="s">
        <v>47</v>
      </c>
      <c r="I12" t="s">
        <v>46</v>
      </c>
      <c r="J12" t="s">
        <v>18</v>
      </c>
      <c r="K12" t="str">
        <f>Tabla7[[#This Row],[Obra]]&amp;Tabla7[[#This Row],[Gerente de obra]]</f>
        <v>00000011Ortiz Juan Manuel</v>
      </c>
      <c r="L12">
        <f>MATCH(Tabla7[[#This Row],[AUX]],Loockup_ObrasGerencia[[#All],[aux]],0)</f>
        <v>12</v>
      </c>
      <c r="O12" t="str">
        <f>UPPER(GERENCIAS[[#This Row],[Gerente de obra]])</f>
        <v>ORTIZ JUAN MANUEL</v>
      </c>
      <c r="R12" t="s">
        <v>47</v>
      </c>
      <c r="S12" t="s">
        <v>46</v>
      </c>
      <c r="T12" t="s">
        <v>19</v>
      </c>
      <c r="W12" s="8" t="s">
        <v>46</v>
      </c>
      <c r="X12" s="8" t="s">
        <v>47</v>
      </c>
      <c r="Y12" s="8" t="s">
        <v>17</v>
      </c>
      <c r="Z12" t="str">
        <f t="shared" si="0"/>
        <v>00000011SI</v>
      </c>
      <c r="AA12" s="11" t="e">
        <f>MATCH(Tabla9[[#This Row],[AUX]],Loockup_ObrasGerencia[[#All],[aux]],0)</f>
        <v>#N/A</v>
      </c>
    </row>
    <row r="13" spans="1:27" x14ac:dyDescent="0.25">
      <c r="A13" s="30" t="s">
        <v>48</v>
      </c>
      <c r="B13" s="30" t="s">
        <v>49</v>
      </c>
      <c r="C13" s="30" t="s">
        <v>17</v>
      </c>
      <c r="D13" s="30" t="str" cm="1">
        <f t="array" ref="D13">UPPER(_xlfn.XLOOKUP(Loockup_ObrasGerencia[[#This Row],[OBRA_PRONTO]],Tabla7[[#All],[Obra]],Tabla7[[#All],[Gerente de obra]],"Sin Obra Asignada",0))</f>
        <v>ORTIZ JUAN MANUEL</v>
      </c>
      <c r="E13" s="31" t="str">
        <f>Loockup_ObrasGerencia[[#This Row],[OBRA_PRONTO]]&amp;Loockup_ObrasGerencia[[#This Row],[GERENCIA]]</f>
        <v>00000012ORTIZ JUAN MANUEL</v>
      </c>
      <c r="H13" t="s">
        <v>49</v>
      </c>
      <c r="I13" t="s">
        <v>48</v>
      </c>
      <c r="J13" t="s">
        <v>18</v>
      </c>
      <c r="K13" t="str">
        <f>Tabla7[[#This Row],[Obra]]&amp;Tabla7[[#This Row],[Gerente de obra]]</f>
        <v>00000012Ortiz Juan Manuel</v>
      </c>
      <c r="L13">
        <f>MATCH(Tabla7[[#This Row],[AUX]],Loockup_ObrasGerencia[[#All],[aux]],0)</f>
        <v>13</v>
      </c>
      <c r="O13" t="str">
        <f>UPPER(GERENCIAS[[#This Row],[Gerente de obra]])</f>
        <v>ORTIZ JUAN MANUEL</v>
      </c>
      <c r="R13" t="s">
        <v>49</v>
      </c>
      <c r="S13" t="s">
        <v>48</v>
      </c>
      <c r="T13" t="s">
        <v>19</v>
      </c>
      <c r="W13" s="8" t="s">
        <v>48</v>
      </c>
      <c r="X13" s="8" t="s">
        <v>49</v>
      </c>
      <c r="Y13" s="8" t="s">
        <v>17</v>
      </c>
      <c r="Z13" t="str">
        <f t="shared" si="0"/>
        <v>00000012SI</v>
      </c>
      <c r="AA13" s="11" t="e">
        <f>MATCH(Tabla9[[#This Row],[AUX]],Loockup_ObrasGerencia[[#All],[aux]],0)</f>
        <v>#N/A</v>
      </c>
    </row>
    <row r="14" spans="1:27" x14ac:dyDescent="0.25">
      <c r="A14" s="30" t="s">
        <v>50</v>
      </c>
      <c r="B14" s="30" t="s">
        <v>51</v>
      </c>
      <c r="C14" s="30" t="s">
        <v>17</v>
      </c>
      <c r="D14" s="30" t="str" cm="1">
        <f t="array" ref="D14">UPPER(_xlfn.XLOOKUP(Loockup_ObrasGerencia[[#This Row],[OBRA_PRONTO]],Tabla7[[#All],[Obra]],Tabla7[[#All],[Gerente de obra]],"Sin Obra Asignada",0))</f>
        <v>SANCHEZ OSCAR</v>
      </c>
      <c r="E14" s="31" t="str">
        <f>Loockup_ObrasGerencia[[#This Row],[OBRA_PRONTO]]&amp;Loockup_ObrasGerencia[[#This Row],[GERENCIA]]</f>
        <v>00000013SANCHEZ OSCAR</v>
      </c>
      <c r="H14" t="s">
        <v>51</v>
      </c>
      <c r="I14" t="s">
        <v>50</v>
      </c>
      <c r="J14" t="s">
        <v>52</v>
      </c>
      <c r="K14" t="str">
        <f>Tabla7[[#This Row],[Obra]]&amp;Tabla7[[#This Row],[Gerente de obra]]</f>
        <v>00000013Sanchez Oscar</v>
      </c>
      <c r="L14">
        <f>MATCH(Tabla7[[#This Row],[AUX]],Loockup_ObrasGerencia[[#All],[aux]],0)</f>
        <v>14</v>
      </c>
      <c r="O14" t="str">
        <f>UPPER(GERENCIAS[[#This Row],[Gerente de obra]])</f>
        <v>SANCHEZ OSCAR</v>
      </c>
      <c r="R14" t="s">
        <v>51</v>
      </c>
      <c r="S14" t="s">
        <v>50</v>
      </c>
      <c r="T14" t="s">
        <v>53</v>
      </c>
      <c r="W14" s="8" t="s">
        <v>50</v>
      </c>
      <c r="X14" s="8" t="s">
        <v>51</v>
      </c>
      <c r="Y14" s="8" t="s">
        <v>17</v>
      </c>
      <c r="Z14" t="str">
        <f t="shared" si="0"/>
        <v>00000013SI</v>
      </c>
      <c r="AA14" s="11" t="e">
        <f>MATCH(Tabla9[[#This Row],[AUX]],Loockup_ObrasGerencia[[#All],[aux]],0)</f>
        <v>#N/A</v>
      </c>
    </row>
    <row r="15" spans="1:27" x14ac:dyDescent="0.25">
      <c r="A15" s="30" t="s">
        <v>54</v>
      </c>
      <c r="B15" s="30" t="s">
        <v>55</v>
      </c>
      <c r="C15" s="30" t="s">
        <v>17</v>
      </c>
      <c r="D15" s="30" t="str" cm="1">
        <f t="array" ref="D15">UPPER(_xlfn.XLOOKUP(Loockup_ObrasGerencia[[#This Row],[OBRA_PRONTO]],Tabla7[[#All],[Obra]],Tabla7[[#All],[Gerente de obra]],"Sin Obra Asignada",0))</f>
        <v>SANCHEZ OSCAR</v>
      </c>
      <c r="E15" s="31" t="str">
        <f>Loockup_ObrasGerencia[[#This Row],[OBRA_PRONTO]]&amp;Loockup_ObrasGerencia[[#This Row],[GERENCIA]]</f>
        <v>00000014SANCHEZ OSCAR</v>
      </c>
      <c r="H15" t="s">
        <v>55</v>
      </c>
      <c r="I15" t="s">
        <v>54</v>
      </c>
      <c r="J15" t="s">
        <v>52</v>
      </c>
      <c r="K15" t="str">
        <f>Tabla7[[#This Row],[Obra]]&amp;Tabla7[[#This Row],[Gerente de obra]]</f>
        <v>00000014Sanchez Oscar</v>
      </c>
      <c r="L15">
        <f>MATCH(Tabla7[[#This Row],[AUX]],Loockup_ObrasGerencia[[#All],[aux]],0)</f>
        <v>15</v>
      </c>
      <c r="O15" t="str">
        <f>UPPER(GERENCIAS[[#This Row],[Gerente de obra]])</f>
        <v>SANCHEZ OSCAR</v>
      </c>
      <c r="R15" t="s">
        <v>55</v>
      </c>
      <c r="S15" t="s">
        <v>54</v>
      </c>
      <c r="T15" t="s">
        <v>53</v>
      </c>
      <c r="W15" s="8" t="s">
        <v>54</v>
      </c>
      <c r="X15" s="8" t="s">
        <v>55</v>
      </c>
      <c r="Y15" s="8" t="s">
        <v>17</v>
      </c>
      <c r="Z15" t="str">
        <f t="shared" si="0"/>
        <v>00000014SI</v>
      </c>
      <c r="AA15" s="11" t="e">
        <f>MATCH(Tabla9[[#This Row],[AUX]],Loockup_ObrasGerencia[[#All],[aux]],0)</f>
        <v>#N/A</v>
      </c>
    </row>
    <row r="16" spans="1:27" x14ac:dyDescent="0.25">
      <c r="A16" s="30" t="s">
        <v>56</v>
      </c>
      <c r="B16" s="30" t="s">
        <v>57</v>
      </c>
      <c r="C16" s="30" t="s">
        <v>17</v>
      </c>
      <c r="D16" s="30" t="str" cm="1">
        <f t="array" ref="D16">UPPER(_xlfn.XLOOKUP(Loockup_ObrasGerencia[[#This Row],[OBRA_PRONTO]],Tabla7[[#All],[Obra]],Tabla7[[#All],[Gerente de obra]],"Sin Obra Asignada",0))</f>
        <v>ORTIZ JUAN MANUEL</v>
      </c>
      <c r="E16" s="31" t="str">
        <f>Loockup_ObrasGerencia[[#This Row],[OBRA_PRONTO]]&amp;Loockup_ObrasGerencia[[#This Row],[GERENCIA]]</f>
        <v>00000015ORTIZ JUAN MANUEL</v>
      </c>
      <c r="H16" t="s">
        <v>57</v>
      </c>
      <c r="I16" t="s">
        <v>56</v>
      </c>
      <c r="J16" t="s">
        <v>18</v>
      </c>
      <c r="K16" t="str">
        <f>Tabla7[[#This Row],[Obra]]&amp;Tabla7[[#This Row],[Gerente de obra]]</f>
        <v>00000015Ortiz Juan Manuel</v>
      </c>
      <c r="L16">
        <f>MATCH(Tabla7[[#This Row],[AUX]],Loockup_ObrasGerencia[[#All],[aux]],0)</f>
        <v>16</v>
      </c>
      <c r="O16" t="str">
        <f>UPPER(GERENCIAS[[#This Row],[Gerente de obra]])</f>
        <v>ORTIZ JUAN MANUEL</v>
      </c>
      <c r="R16" t="s">
        <v>57</v>
      </c>
      <c r="S16" t="s">
        <v>56</v>
      </c>
      <c r="T16" t="s">
        <v>19</v>
      </c>
      <c r="W16" s="8" t="s">
        <v>56</v>
      </c>
      <c r="X16" s="8" t="s">
        <v>57</v>
      </c>
      <c r="Y16" s="8" t="s">
        <v>17</v>
      </c>
      <c r="Z16" t="str">
        <f t="shared" si="0"/>
        <v>00000015SI</v>
      </c>
      <c r="AA16" s="11" t="e">
        <f>MATCH(Tabla9[[#This Row],[AUX]],Loockup_ObrasGerencia[[#All],[aux]],0)</f>
        <v>#N/A</v>
      </c>
    </row>
    <row r="17" spans="1:27" x14ac:dyDescent="0.25">
      <c r="A17" s="30" t="s">
        <v>58</v>
      </c>
      <c r="B17" s="30" t="s">
        <v>59</v>
      </c>
      <c r="C17" s="30" t="s">
        <v>17</v>
      </c>
      <c r="D17" s="30" t="str" cm="1">
        <f t="array" ref="D17">UPPER(_xlfn.XLOOKUP(Loockup_ObrasGerencia[[#This Row],[OBRA_PRONTO]],Tabla7[[#All],[Obra]],Tabla7[[#All],[Gerente de obra]],"Sin Obra Asignada",0))</f>
        <v>SANCHEZ OSCAR</v>
      </c>
      <c r="E17" s="31" t="str">
        <f>Loockup_ObrasGerencia[[#This Row],[OBRA_PRONTO]]&amp;Loockup_ObrasGerencia[[#This Row],[GERENCIA]]</f>
        <v>00000016SANCHEZ OSCAR</v>
      </c>
      <c r="H17" t="s">
        <v>59</v>
      </c>
      <c r="I17" t="s">
        <v>58</v>
      </c>
      <c r="J17" t="s">
        <v>52</v>
      </c>
      <c r="K17" t="str">
        <f>Tabla7[[#This Row],[Obra]]&amp;Tabla7[[#This Row],[Gerente de obra]]</f>
        <v>00000016Sanchez Oscar</v>
      </c>
      <c r="L17">
        <f>MATCH(Tabla7[[#This Row],[AUX]],Loockup_ObrasGerencia[[#All],[aux]],0)</f>
        <v>17</v>
      </c>
      <c r="O17" t="str">
        <f>UPPER(GERENCIAS[[#This Row],[Gerente de obra]])</f>
        <v>SANCHEZ OSCAR</v>
      </c>
      <c r="R17" t="s">
        <v>59</v>
      </c>
      <c r="S17" t="s">
        <v>58</v>
      </c>
      <c r="T17" t="s">
        <v>53</v>
      </c>
      <c r="W17" s="8" t="s">
        <v>58</v>
      </c>
      <c r="X17" s="8" t="s">
        <v>59</v>
      </c>
      <c r="Y17" s="8" t="s">
        <v>17</v>
      </c>
      <c r="Z17" t="str">
        <f t="shared" si="0"/>
        <v>00000016SI</v>
      </c>
      <c r="AA17" s="11" t="e">
        <f>MATCH(Tabla9[[#This Row],[AUX]],Loockup_ObrasGerencia[[#All],[aux]],0)</f>
        <v>#N/A</v>
      </c>
    </row>
    <row r="18" spans="1:27" x14ac:dyDescent="0.25">
      <c r="A18" s="30" t="s">
        <v>60</v>
      </c>
      <c r="B18" s="30" t="s">
        <v>61</v>
      </c>
      <c r="C18" s="30" t="s">
        <v>17</v>
      </c>
      <c r="D18" s="30" t="str" cm="1">
        <f t="array" ref="D18">UPPER(_xlfn.XLOOKUP(Loockup_ObrasGerencia[[#This Row],[OBRA_PRONTO]],Tabla7[[#All],[Obra]],Tabla7[[#All],[Gerente de obra]],"Sin Obra Asignada",0))</f>
        <v>ORTIZ JUAN MANUEL</v>
      </c>
      <c r="E18" s="31" t="str">
        <f>Loockup_ObrasGerencia[[#This Row],[OBRA_PRONTO]]&amp;Loockup_ObrasGerencia[[#This Row],[GERENCIA]]</f>
        <v>00000017ORTIZ JUAN MANUEL</v>
      </c>
      <c r="H18" t="s">
        <v>61</v>
      </c>
      <c r="I18" t="s">
        <v>60</v>
      </c>
      <c r="J18" t="s">
        <v>18</v>
      </c>
      <c r="K18" t="str">
        <f>Tabla7[[#This Row],[Obra]]&amp;Tabla7[[#This Row],[Gerente de obra]]</f>
        <v>00000017Ortiz Juan Manuel</v>
      </c>
      <c r="L18">
        <f>MATCH(Tabla7[[#This Row],[AUX]],Loockup_ObrasGerencia[[#All],[aux]],0)</f>
        <v>18</v>
      </c>
      <c r="O18" t="str">
        <f>UPPER(GERENCIAS[[#This Row],[Gerente de obra]])</f>
        <v>ORTIZ JUAN MANUEL</v>
      </c>
      <c r="R18" t="s">
        <v>61</v>
      </c>
      <c r="S18" t="s">
        <v>60</v>
      </c>
      <c r="T18" t="s">
        <v>19</v>
      </c>
      <c r="W18" s="8" t="s">
        <v>60</v>
      </c>
      <c r="X18" s="8" t="s">
        <v>61</v>
      </c>
      <c r="Y18" s="8" t="s">
        <v>17</v>
      </c>
      <c r="Z18" t="str">
        <f t="shared" si="0"/>
        <v>00000017SI</v>
      </c>
      <c r="AA18" s="11" t="e">
        <f>MATCH(Tabla9[[#This Row],[AUX]],Loockup_ObrasGerencia[[#All],[aux]],0)</f>
        <v>#N/A</v>
      </c>
    </row>
    <row r="19" spans="1:27" x14ac:dyDescent="0.25">
      <c r="A19" s="30" t="s">
        <v>62</v>
      </c>
      <c r="B19" s="30" t="s">
        <v>63</v>
      </c>
      <c r="C19" s="30" t="s">
        <v>64</v>
      </c>
      <c r="D19" s="30" t="str" cm="1">
        <f t="array" ref="D19">UPPER(_xlfn.XLOOKUP(Loockup_ObrasGerencia[[#This Row],[OBRA_PRONTO]],Tabla7[[#All],[Obra]],Tabla7[[#All],[Gerente de obra]],"Sin Obra Asignada",0))</f>
        <v>SIN ASIGNACION</v>
      </c>
      <c r="E19" s="31" t="str">
        <f>Loockup_ObrasGerencia[[#This Row],[OBRA_PRONTO]]&amp;Loockup_ObrasGerencia[[#This Row],[GERENCIA]]</f>
        <v>00000018SIN ASIGNACION</v>
      </c>
      <c r="H19" t="s">
        <v>63</v>
      </c>
      <c r="I19" t="s">
        <v>62</v>
      </c>
      <c r="J19" t="s">
        <v>1401</v>
      </c>
      <c r="K19" t="str">
        <f>Tabla7[[#This Row],[Obra]]&amp;Tabla7[[#This Row],[Gerente de obra]]</f>
        <v>00000018SIN ASIGNACION</v>
      </c>
      <c r="L19">
        <f>MATCH(Tabla7[[#This Row],[AUX]],Loockup_ObrasGerencia[[#All],[aux]],0)</f>
        <v>19</v>
      </c>
      <c r="O19" t="str">
        <f>UPPER(GERENCIAS[[#This Row],[Gerente de obra]])</f>
        <v>METZLER JAVIER</v>
      </c>
      <c r="R19" t="s">
        <v>66</v>
      </c>
      <c r="S19" t="s">
        <v>67</v>
      </c>
      <c r="T19" t="s">
        <v>68</v>
      </c>
      <c r="W19" s="8" t="s">
        <v>62</v>
      </c>
      <c r="X19" s="8" t="s">
        <v>63</v>
      </c>
      <c r="Y19" s="8" t="s">
        <v>64</v>
      </c>
      <c r="Z19" t="str">
        <f t="shared" si="0"/>
        <v>00000018ADMINISTRACION</v>
      </c>
      <c r="AA19" s="11" t="e">
        <f>MATCH(Tabla9[[#This Row],[AUX]],Loockup_ObrasGerencia[[#All],[aux]],0)</f>
        <v>#N/A</v>
      </c>
    </row>
    <row r="20" spans="1:27" x14ac:dyDescent="0.25">
      <c r="A20" s="30" t="s">
        <v>67</v>
      </c>
      <c r="B20" s="30" t="s">
        <v>66</v>
      </c>
      <c r="C20" s="30" t="s">
        <v>17</v>
      </c>
      <c r="D20" s="30" t="str" cm="1">
        <f t="array" ref="D20">UPPER(_xlfn.XLOOKUP(Loockup_ObrasGerencia[[#This Row],[OBRA_PRONTO]],Tabla7[[#All],[Obra]],Tabla7[[#All],[Gerente de obra]],"Sin Obra Asignada",0))</f>
        <v>METZLER JAVIER</v>
      </c>
      <c r="E20" s="31" t="str">
        <f>Loockup_ObrasGerencia[[#This Row],[OBRA_PRONTO]]&amp;Loockup_ObrasGerencia[[#This Row],[GERENCIA]]</f>
        <v>00000019METZLER JAVIER</v>
      </c>
      <c r="H20" t="s">
        <v>66</v>
      </c>
      <c r="I20" t="s">
        <v>67</v>
      </c>
      <c r="J20" t="s">
        <v>69</v>
      </c>
      <c r="K20" t="str">
        <f>Tabla7[[#This Row],[Obra]]&amp;Tabla7[[#This Row],[Gerente de obra]]</f>
        <v>00000019Metzler Javier</v>
      </c>
      <c r="L20">
        <f>MATCH(Tabla7[[#This Row],[AUX]],Loockup_ObrasGerencia[[#All],[aux]],0)</f>
        <v>20</v>
      </c>
      <c r="O20" t="str">
        <f>UPPER(GERENCIAS[[#This Row],[Gerente de obra]])</f>
        <v>ORTIZ JUAN MANUEL</v>
      </c>
      <c r="R20" t="s">
        <v>70</v>
      </c>
      <c r="S20" t="s">
        <v>71</v>
      </c>
      <c r="T20" t="s">
        <v>19</v>
      </c>
      <c r="W20" s="8" t="s">
        <v>67</v>
      </c>
      <c r="X20" s="8" t="s">
        <v>66</v>
      </c>
      <c r="Y20" s="8" t="s">
        <v>17</v>
      </c>
      <c r="Z20" t="str">
        <f t="shared" si="0"/>
        <v>00000019SI</v>
      </c>
      <c r="AA20" s="11" t="e">
        <f>MATCH(Tabla9[[#This Row],[AUX]],Loockup_ObrasGerencia[[#All],[aux]],0)</f>
        <v>#N/A</v>
      </c>
    </row>
    <row r="21" spans="1:27" x14ac:dyDescent="0.25">
      <c r="A21" s="30" t="s">
        <v>71</v>
      </c>
      <c r="B21" s="30" t="s">
        <v>70</v>
      </c>
      <c r="C21" s="30" t="s">
        <v>17</v>
      </c>
      <c r="D21" s="30" t="str" cm="1">
        <f t="array" ref="D21">UPPER(_xlfn.XLOOKUP(Loockup_ObrasGerencia[[#This Row],[OBRA_PRONTO]],Tabla7[[#All],[Obra]],Tabla7[[#All],[Gerente de obra]],"Sin Obra Asignada",0))</f>
        <v>ORTIZ JUAN MANUEL</v>
      </c>
      <c r="E21" s="31" t="str">
        <f>Loockup_ObrasGerencia[[#This Row],[OBRA_PRONTO]]&amp;Loockup_ObrasGerencia[[#This Row],[GERENCIA]]</f>
        <v>00000020ORTIZ JUAN MANUEL</v>
      </c>
      <c r="H21" t="s">
        <v>70</v>
      </c>
      <c r="I21" t="s">
        <v>71</v>
      </c>
      <c r="J21" t="s">
        <v>18</v>
      </c>
      <c r="K21" t="str">
        <f>Tabla7[[#This Row],[Obra]]&amp;Tabla7[[#This Row],[Gerente de obra]]</f>
        <v>00000020Ortiz Juan Manuel</v>
      </c>
      <c r="L21">
        <f>MATCH(Tabla7[[#This Row],[AUX]],Loockup_ObrasGerencia[[#All],[aux]],0)</f>
        <v>21</v>
      </c>
      <c r="O21" t="str">
        <f>UPPER(GERENCIAS[[#This Row],[Gerente de obra]])</f>
        <v>ORTIZ JUAN MANUEL</v>
      </c>
      <c r="R21" t="s">
        <v>72</v>
      </c>
      <c r="S21" t="s">
        <v>73</v>
      </c>
      <c r="T21" t="s">
        <v>19</v>
      </c>
      <c r="W21" s="8" t="s">
        <v>71</v>
      </c>
      <c r="X21" s="8" t="s">
        <v>70</v>
      </c>
      <c r="Y21" s="8" t="s">
        <v>17</v>
      </c>
      <c r="Z21" t="str">
        <f t="shared" si="0"/>
        <v>00000020SI</v>
      </c>
      <c r="AA21" s="11" t="e">
        <f>MATCH(Tabla9[[#This Row],[AUX]],Loockup_ObrasGerencia[[#All],[aux]],0)</f>
        <v>#N/A</v>
      </c>
    </row>
    <row r="22" spans="1:27" x14ac:dyDescent="0.25">
      <c r="A22" s="30" t="s">
        <v>73</v>
      </c>
      <c r="B22" s="30" t="s">
        <v>72</v>
      </c>
      <c r="C22" s="30" t="s">
        <v>17</v>
      </c>
      <c r="D22" s="30" t="str" cm="1">
        <f t="array" ref="D22">UPPER(_xlfn.XLOOKUP(Loockup_ObrasGerencia[[#This Row],[OBRA_PRONTO]],Tabla7[[#All],[Obra]],Tabla7[[#All],[Gerente de obra]],"Sin Obra Asignada",0))</f>
        <v>ORTIZ JUAN MANUEL</v>
      </c>
      <c r="E22" s="31" t="str">
        <f>Loockup_ObrasGerencia[[#This Row],[OBRA_PRONTO]]&amp;Loockup_ObrasGerencia[[#This Row],[GERENCIA]]</f>
        <v>00000021ORTIZ JUAN MANUEL</v>
      </c>
      <c r="H22" t="s">
        <v>72</v>
      </c>
      <c r="I22" t="s">
        <v>73</v>
      </c>
      <c r="J22" t="s">
        <v>18</v>
      </c>
      <c r="K22" t="str">
        <f>Tabla7[[#This Row],[Obra]]&amp;Tabla7[[#This Row],[Gerente de obra]]</f>
        <v>00000021Ortiz Juan Manuel</v>
      </c>
      <c r="L22">
        <f>MATCH(Tabla7[[#This Row],[AUX]],Loockup_ObrasGerencia[[#All],[aux]],0)</f>
        <v>22</v>
      </c>
      <c r="O22" t="str">
        <f>UPPER(GERENCIAS[[#This Row],[Gerente de obra]])</f>
        <v>ORTIZ JUAN MANUEL</v>
      </c>
      <c r="R22" t="s">
        <v>74</v>
      </c>
      <c r="S22" t="s">
        <v>75</v>
      </c>
      <c r="T22" t="s">
        <v>19</v>
      </c>
      <c r="W22" s="8" t="s">
        <v>73</v>
      </c>
      <c r="X22" s="8" t="s">
        <v>72</v>
      </c>
      <c r="Y22" s="8" t="s">
        <v>17</v>
      </c>
      <c r="Z22" t="str">
        <f t="shared" si="0"/>
        <v>00000021SI</v>
      </c>
      <c r="AA22" s="11" t="e">
        <f>MATCH(Tabla9[[#This Row],[AUX]],Loockup_ObrasGerencia[[#All],[aux]],0)</f>
        <v>#N/A</v>
      </c>
    </row>
    <row r="23" spans="1:27" x14ac:dyDescent="0.25">
      <c r="A23" s="30" t="s">
        <v>75</v>
      </c>
      <c r="B23" s="30" t="s">
        <v>74</v>
      </c>
      <c r="C23" s="30" t="s">
        <v>17</v>
      </c>
      <c r="D23" s="30" t="str" cm="1">
        <f t="array" ref="D23">UPPER(_xlfn.XLOOKUP(Loockup_ObrasGerencia[[#This Row],[OBRA_PRONTO]],Tabla7[[#All],[Obra]],Tabla7[[#All],[Gerente de obra]],"Sin Obra Asignada",0))</f>
        <v>ORTIZ JUAN MANUEL</v>
      </c>
      <c r="E23" s="31" t="str">
        <f>Loockup_ObrasGerencia[[#This Row],[OBRA_PRONTO]]&amp;Loockup_ObrasGerencia[[#This Row],[GERENCIA]]</f>
        <v>00000022ORTIZ JUAN MANUEL</v>
      </c>
      <c r="H23" t="s">
        <v>74</v>
      </c>
      <c r="I23" t="s">
        <v>75</v>
      </c>
      <c r="J23" t="s">
        <v>18</v>
      </c>
      <c r="K23" t="str">
        <f>Tabla7[[#This Row],[Obra]]&amp;Tabla7[[#This Row],[Gerente de obra]]</f>
        <v>00000022Ortiz Juan Manuel</v>
      </c>
      <c r="L23">
        <f>MATCH(Tabla7[[#This Row],[AUX]],Loockup_ObrasGerencia[[#All],[aux]],0)</f>
        <v>23</v>
      </c>
      <c r="O23" t="str">
        <f>UPPER(GERENCIAS[[#This Row],[Gerente de obra]])</f>
        <v>FRANCISCO DI LISIO</v>
      </c>
      <c r="R23" t="s">
        <v>76</v>
      </c>
      <c r="S23" t="s">
        <v>77</v>
      </c>
      <c r="T23" t="s">
        <v>78</v>
      </c>
      <c r="W23" s="8" t="s">
        <v>75</v>
      </c>
      <c r="X23" s="8" t="s">
        <v>74</v>
      </c>
      <c r="Y23" s="8" t="s">
        <v>17</v>
      </c>
      <c r="Z23" t="str">
        <f t="shared" si="0"/>
        <v>00000022SI</v>
      </c>
      <c r="AA23" s="11" t="e">
        <f>MATCH(Tabla9[[#This Row],[AUX]],Loockup_ObrasGerencia[[#All],[aux]],0)</f>
        <v>#N/A</v>
      </c>
    </row>
    <row r="24" spans="1:27" x14ac:dyDescent="0.25">
      <c r="A24" s="30" t="s">
        <v>77</v>
      </c>
      <c r="B24" s="30" t="s">
        <v>76</v>
      </c>
      <c r="C24" s="30" t="s">
        <v>17</v>
      </c>
      <c r="D24" s="30" t="str" cm="1">
        <f t="array" ref="D24">UPPER(_xlfn.XLOOKUP(Loockup_ObrasGerencia[[#This Row],[OBRA_PRONTO]],Tabla7[[#All],[Obra]],Tabla7[[#All],[Gerente de obra]],"Sin Obra Asignada",0))</f>
        <v>FRANCISCO DI LISIO</v>
      </c>
      <c r="E24" s="31" t="str">
        <f>Loockup_ObrasGerencia[[#This Row],[OBRA_PRONTO]]&amp;Loockup_ObrasGerencia[[#This Row],[GERENCIA]]</f>
        <v>00000023FRANCISCO DI LISIO</v>
      </c>
      <c r="H24" t="s">
        <v>76</v>
      </c>
      <c r="I24" t="s">
        <v>77</v>
      </c>
      <c r="J24" t="s">
        <v>79</v>
      </c>
      <c r="K24" t="str">
        <f>Tabla7[[#This Row],[Obra]]&amp;Tabla7[[#This Row],[Gerente de obra]]</f>
        <v>00000023Francisco Di Lisio</v>
      </c>
      <c r="L24">
        <f>MATCH(Tabla7[[#This Row],[AUX]],Loockup_ObrasGerencia[[#All],[aux]],0)</f>
        <v>24</v>
      </c>
      <c r="O24" t="str">
        <f>UPPER(GERENCIAS[[#This Row],[Gerente de obra]])</f>
        <v>ORTIZ JUAN MANUEL</v>
      </c>
      <c r="R24" t="s">
        <v>80</v>
      </c>
      <c r="S24" t="s">
        <v>81</v>
      </c>
      <c r="T24" t="s">
        <v>19</v>
      </c>
      <c r="W24" s="8" t="s">
        <v>77</v>
      </c>
      <c r="X24" s="8" t="s">
        <v>76</v>
      </c>
      <c r="Y24" s="8" t="s">
        <v>17</v>
      </c>
      <c r="Z24" t="str">
        <f t="shared" si="0"/>
        <v>00000023SI</v>
      </c>
      <c r="AA24" s="11" t="e">
        <f>MATCH(Tabla9[[#This Row],[AUX]],Loockup_ObrasGerencia[[#All],[aux]],0)</f>
        <v>#N/A</v>
      </c>
    </row>
    <row r="25" spans="1:27" x14ac:dyDescent="0.25">
      <c r="A25" s="30" t="s">
        <v>82</v>
      </c>
      <c r="B25" s="30" t="s">
        <v>83</v>
      </c>
      <c r="C25" s="30" t="s">
        <v>64</v>
      </c>
      <c r="D25" s="30" t="str" cm="1">
        <f t="array" ref="D25">UPPER(_xlfn.XLOOKUP(Loockup_ObrasGerencia[[#This Row],[OBRA_PRONTO]],Tabla7[[#All],[Obra]],Tabla7[[#All],[Gerente de obra]],"Sin Obra Asignada",0))</f>
        <v>SIN ASIGNACION</v>
      </c>
      <c r="E25" s="31" t="str">
        <f>Loockup_ObrasGerencia[[#This Row],[OBRA_PRONTO]]&amp;Loockup_ObrasGerencia[[#This Row],[GERENCIA]]</f>
        <v>00000024SIN ASIGNACION</v>
      </c>
      <c r="H25" t="s">
        <v>83</v>
      </c>
      <c r="I25" t="s">
        <v>82</v>
      </c>
      <c r="J25" t="s">
        <v>1401</v>
      </c>
      <c r="K25" t="str">
        <f>Tabla7[[#This Row],[Obra]]&amp;Tabla7[[#This Row],[Gerente de obra]]</f>
        <v>00000024SIN ASIGNACION</v>
      </c>
      <c r="L25">
        <f>MATCH(Tabla7[[#This Row],[AUX]],Loockup_ObrasGerencia[[#All],[aux]],0)</f>
        <v>25</v>
      </c>
      <c r="O25" t="str">
        <f>UPPER(GERENCIAS[[#This Row],[Gerente de obra]])</f>
        <v>TRUJILLO</v>
      </c>
      <c r="R25" t="s">
        <v>84</v>
      </c>
      <c r="S25" t="s">
        <v>85</v>
      </c>
      <c r="T25" t="s">
        <v>25</v>
      </c>
      <c r="W25" s="8" t="s">
        <v>82</v>
      </c>
      <c r="X25" s="8" t="s">
        <v>83</v>
      </c>
      <c r="Y25" s="8" t="s">
        <v>64</v>
      </c>
      <c r="Z25" t="str">
        <f t="shared" si="0"/>
        <v>00000024ADMINISTRACION</v>
      </c>
      <c r="AA25" s="11" t="e">
        <f>MATCH(Tabla9[[#This Row],[AUX]],Loockup_ObrasGerencia[[#All],[aux]],0)</f>
        <v>#N/A</v>
      </c>
    </row>
    <row r="26" spans="1:27" x14ac:dyDescent="0.25">
      <c r="A26" s="30" t="s">
        <v>81</v>
      </c>
      <c r="B26" s="30" t="s">
        <v>80</v>
      </c>
      <c r="C26" s="30" t="s">
        <v>17</v>
      </c>
      <c r="D26" s="30" t="str" cm="1">
        <f t="array" ref="D26">UPPER(_xlfn.XLOOKUP(Loockup_ObrasGerencia[[#This Row],[OBRA_PRONTO]],Tabla7[[#All],[Obra]],Tabla7[[#All],[Gerente de obra]],"Sin Obra Asignada",0))</f>
        <v>ORTIZ JUAN MANUEL</v>
      </c>
      <c r="E26" s="31" t="str">
        <f>Loockup_ObrasGerencia[[#This Row],[OBRA_PRONTO]]&amp;Loockup_ObrasGerencia[[#This Row],[GERENCIA]]</f>
        <v>00000025ORTIZ JUAN MANUEL</v>
      </c>
      <c r="H26" t="s">
        <v>80</v>
      </c>
      <c r="I26" t="s">
        <v>81</v>
      </c>
      <c r="J26" t="s">
        <v>18</v>
      </c>
      <c r="K26" t="str">
        <f>Tabla7[[#This Row],[Obra]]&amp;Tabla7[[#This Row],[Gerente de obra]]</f>
        <v>00000025Ortiz Juan Manuel</v>
      </c>
      <c r="L26">
        <f>MATCH(Tabla7[[#This Row],[AUX]],Loockup_ObrasGerencia[[#All],[aux]],0)</f>
        <v>26</v>
      </c>
      <c r="O26" t="str">
        <f>UPPER(GERENCIAS[[#This Row],[Gerente de obra]])</f>
        <v>ORTIZ JUAN MANUEL</v>
      </c>
      <c r="R26" t="s">
        <v>86</v>
      </c>
      <c r="S26" t="s">
        <v>87</v>
      </c>
      <c r="T26" t="s">
        <v>19</v>
      </c>
      <c r="W26" s="8" t="s">
        <v>81</v>
      </c>
      <c r="X26" s="8" t="s">
        <v>80</v>
      </c>
      <c r="Y26" s="8" t="s">
        <v>17</v>
      </c>
      <c r="Z26" t="str">
        <f t="shared" si="0"/>
        <v>00000025SI</v>
      </c>
      <c r="AA26" s="11" t="e">
        <f>MATCH(Tabla9[[#This Row],[AUX]],Loockup_ObrasGerencia[[#All],[aux]],0)</f>
        <v>#N/A</v>
      </c>
    </row>
    <row r="27" spans="1:27" x14ac:dyDescent="0.25">
      <c r="A27" s="30" t="s">
        <v>85</v>
      </c>
      <c r="B27" s="30" t="s">
        <v>84</v>
      </c>
      <c r="C27" s="30" t="s">
        <v>17</v>
      </c>
      <c r="D27" s="30" t="str" cm="1">
        <f t="array" ref="D27">UPPER(_xlfn.XLOOKUP(Loockup_ObrasGerencia[[#This Row],[OBRA_PRONTO]],Tabla7[[#All],[Obra]],Tabla7[[#All],[Gerente de obra]],"Sin Obra Asignada",0))</f>
        <v>TRUJILLO</v>
      </c>
      <c r="E27" s="31" t="str">
        <f>Loockup_ObrasGerencia[[#This Row],[OBRA_PRONTO]]&amp;Loockup_ObrasGerencia[[#This Row],[GERENCIA]]</f>
        <v>00000026TRUJILLO</v>
      </c>
      <c r="H27" t="s">
        <v>84</v>
      </c>
      <c r="I27" t="s">
        <v>85</v>
      </c>
      <c r="J27" t="s">
        <v>24</v>
      </c>
      <c r="K27" t="str">
        <f>Tabla7[[#This Row],[Obra]]&amp;Tabla7[[#This Row],[Gerente de obra]]</f>
        <v>00000026Trujillo</v>
      </c>
      <c r="L27">
        <f>MATCH(Tabla7[[#This Row],[AUX]],Loockup_ObrasGerencia[[#All],[aux]],0)</f>
        <v>27</v>
      </c>
      <c r="O27" t="str">
        <f>UPPER(GERENCIAS[[#This Row],[Gerente de obra]])</f>
        <v>SANCHEZ OSCAR</v>
      </c>
      <c r="R27" t="s">
        <v>88</v>
      </c>
      <c r="S27" t="s">
        <v>89</v>
      </c>
      <c r="T27" t="s">
        <v>53</v>
      </c>
      <c r="W27" s="8" t="s">
        <v>85</v>
      </c>
      <c r="X27" s="8" t="s">
        <v>84</v>
      </c>
      <c r="Y27" s="8" t="s">
        <v>17</v>
      </c>
      <c r="Z27" t="str">
        <f t="shared" si="0"/>
        <v>00000026SI</v>
      </c>
      <c r="AA27" s="11" t="e">
        <f>MATCH(Tabla9[[#This Row],[AUX]],Loockup_ObrasGerencia[[#All],[aux]],0)</f>
        <v>#N/A</v>
      </c>
    </row>
    <row r="28" spans="1:27" x14ac:dyDescent="0.25">
      <c r="A28" s="30" t="s">
        <v>87</v>
      </c>
      <c r="B28" s="30" t="s">
        <v>86</v>
      </c>
      <c r="C28" s="30" t="s">
        <v>17</v>
      </c>
      <c r="D28" s="30" t="str" cm="1">
        <f t="array" ref="D28">UPPER(_xlfn.XLOOKUP(Loockup_ObrasGerencia[[#This Row],[OBRA_PRONTO]],Tabla7[[#All],[Obra]],Tabla7[[#All],[Gerente de obra]],"Sin Obra Asignada",0))</f>
        <v>ORTIZ JUAN MANUEL</v>
      </c>
      <c r="E28" s="31" t="str">
        <f>Loockup_ObrasGerencia[[#This Row],[OBRA_PRONTO]]&amp;Loockup_ObrasGerencia[[#This Row],[GERENCIA]]</f>
        <v>00000027ORTIZ JUAN MANUEL</v>
      </c>
      <c r="H28" t="s">
        <v>86</v>
      </c>
      <c r="I28" t="s">
        <v>87</v>
      </c>
      <c r="J28" t="s">
        <v>18</v>
      </c>
      <c r="K28" t="str">
        <f>Tabla7[[#This Row],[Obra]]&amp;Tabla7[[#This Row],[Gerente de obra]]</f>
        <v>00000027Ortiz Juan Manuel</v>
      </c>
      <c r="L28">
        <f>MATCH(Tabla7[[#This Row],[AUX]],Loockup_ObrasGerencia[[#All],[aux]],0)</f>
        <v>28</v>
      </c>
      <c r="O28" t="str">
        <f>UPPER(GERENCIAS[[#This Row],[Gerente de obra]])</f>
        <v>ORTIZ JUAN MANUEL</v>
      </c>
      <c r="R28" t="s">
        <v>90</v>
      </c>
      <c r="S28" t="s">
        <v>91</v>
      </c>
      <c r="T28" t="s">
        <v>19</v>
      </c>
      <c r="W28" s="8" t="s">
        <v>87</v>
      </c>
      <c r="X28" s="8" t="s">
        <v>86</v>
      </c>
      <c r="Y28" s="8" t="s">
        <v>17</v>
      </c>
      <c r="Z28" t="str">
        <f t="shared" si="0"/>
        <v>00000027SI</v>
      </c>
      <c r="AA28" s="11" t="e">
        <f>MATCH(Tabla9[[#This Row],[AUX]],Loockup_ObrasGerencia[[#All],[aux]],0)</f>
        <v>#N/A</v>
      </c>
    </row>
    <row r="29" spans="1:27" x14ac:dyDescent="0.25">
      <c r="A29" s="30" t="s">
        <v>89</v>
      </c>
      <c r="B29" s="30" t="s">
        <v>88</v>
      </c>
      <c r="C29" s="30" t="s">
        <v>17</v>
      </c>
      <c r="D29" s="30" t="str" cm="1">
        <f t="array" ref="D29">UPPER(_xlfn.XLOOKUP(Loockup_ObrasGerencia[[#This Row],[OBRA_PRONTO]],Tabla7[[#All],[Obra]],Tabla7[[#All],[Gerente de obra]],"Sin Obra Asignada",0))</f>
        <v>SANCHEZ OSCAR</v>
      </c>
      <c r="E29" s="31" t="str">
        <f>Loockup_ObrasGerencia[[#This Row],[OBRA_PRONTO]]&amp;Loockup_ObrasGerencia[[#This Row],[GERENCIA]]</f>
        <v>00000028SANCHEZ OSCAR</v>
      </c>
      <c r="H29" t="s">
        <v>88</v>
      </c>
      <c r="I29" t="s">
        <v>89</v>
      </c>
      <c r="J29" t="s">
        <v>52</v>
      </c>
      <c r="K29" t="str">
        <f>Tabla7[[#This Row],[Obra]]&amp;Tabla7[[#This Row],[Gerente de obra]]</f>
        <v>00000028Sanchez Oscar</v>
      </c>
      <c r="L29">
        <f>MATCH(Tabla7[[#This Row],[AUX]],Loockup_ObrasGerencia[[#All],[aux]],0)</f>
        <v>29</v>
      </c>
      <c r="O29" t="str">
        <f>UPPER(GERENCIAS[[#This Row],[Gerente de obra]])</f>
        <v>METZLER JAVIER</v>
      </c>
      <c r="R29" t="s">
        <v>92</v>
      </c>
      <c r="S29" t="s">
        <v>93</v>
      </c>
      <c r="T29" t="s">
        <v>68</v>
      </c>
      <c r="W29" s="8" t="s">
        <v>89</v>
      </c>
      <c r="X29" s="8" t="s">
        <v>88</v>
      </c>
      <c r="Y29" s="8" t="s">
        <v>17</v>
      </c>
      <c r="Z29" t="str">
        <f t="shared" si="0"/>
        <v>00000028SI</v>
      </c>
      <c r="AA29" s="11" t="e">
        <f>MATCH(Tabla9[[#This Row],[AUX]],Loockup_ObrasGerencia[[#All],[aux]],0)</f>
        <v>#N/A</v>
      </c>
    </row>
    <row r="30" spans="1:27" x14ac:dyDescent="0.25">
      <c r="A30" s="30" t="s">
        <v>91</v>
      </c>
      <c r="B30" s="30" t="s">
        <v>90</v>
      </c>
      <c r="C30" s="30" t="s">
        <v>17</v>
      </c>
      <c r="D30" s="30" t="str" cm="1">
        <f t="array" ref="D30">UPPER(_xlfn.XLOOKUP(Loockup_ObrasGerencia[[#This Row],[OBRA_PRONTO]],Tabla7[[#All],[Obra]],Tabla7[[#All],[Gerente de obra]],"Sin Obra Asignada",0))</f>
        <v>ORTIZ JUAN MANUEL</v>
      </c>
      <c r="E30" s="31" t="str">
        <f>Loockup_ObrasGerencia[[#This Row],[OBRA_PRONTO]]&amp;Loockup_ObrasGerencia[[#This Row],[GERENCIA]]</f>
        <v>00000029ORTIZ JUAN MANUEL</v>
      </c>
      <c r="H30" t="s">
        <v>90</v>
      </c>
      <c r="I30" t="s">
        <v>91</v>
      </c>
      <c r="J30" t="s">
        <v>18</v>
      </c>
      <c r="K30" t="str">
        <f>Tabla7[[#This Row],[Obra]]&amp;Tabla7[[#This Row],[Gerente de obra]]</f>
        <v>00000029Ortiz Juan Manuel</v>
      </c>
      <c r="L30">
        <f>MATCH(Tabla7[[#This Row],[AUX]],Loockup_ObrasGerencia[[#All],[aux]],0)</f>
        <v>30</v>
      </c>
      <c r="O30" t="str">
        <f>UPPER(GERENCIAS[[#This Row],[Gerente de obra]])</f>
        <v>FRANCISCO DI LISIO</v>
      </c>
      <c r="R30" t="s">
        <v>94</v>
      </c>
      <c r="S30" t="s">
        <v>95</v>
      </c>
      <c r="T30" t="s">
        <v>78</v>
      </c>
      <c r="W30" s="8" t="s">
        <v>91</v>
      </c>
      <c r="X30" s="8" t="s">
        <v>90</v>
      </c>
      <c r="Y30" s="8" t="s">
        <v>17</v>
      </c>
      <c r="Z30" t="str">
        <f t="shared" si="0"/>
        <v>00000029SI</v>
      </c>
      <c r="AA30" s="11" t="e">
        <f>MATCH(Tabla9[[#This Row],[AUX]],Loockup_ObrasGerencia[[#All],[aux]],0)</f>
        <v>#N/A</v>
      </c>
    </row>
    <row r="31" spans="1:27" x14ac:dyDescent="0.25">
      <c r="A31" s="30" t="s">
        <v>93</v>
      </c>
      <c r="B31" s="30" t="s">
        <v>92</v>
      </c>
      <c r="C31" s="30" t="s">
        <v>17</v>
      </c>
      <c r="D31" s="30" t="str" cm="1">
        <f t="array" ref="D31">UPPER(_xlfn.XLOOKUP(Loockup_ObrasGerencia[[#This Row],[OBRA_PRONTO]],Tabla7[[#All],[Obra]],Tabla7[[#All],[Gerente de obra]],"Sin Obra Asignada",0))</f>
        <v>METZLER JAVIER</v>
      </c>
      <c r="E31" s="31" t="str">
        <f>Loockup_ObrasGerencia[[#This Row],[OBRA_PRONTO]]&amp;Loockup_ObrasGerencia[[#This Row],[GERENCIA]]</f>
        <v>00000030METZLER JAVIER</v>
      </c>
      <c r="H31" t="s">
        <v>92</v>
      </c>
      <c r="I31" t="s">
        <v>93</v>
      </c>
      <c r="J31" t="s">
        <v>69</v>
      </c>
      <c r="K31" t="str">
        <f>Tabla7[[#This Row],[Obra]]&amp;Tabla7[[#This Row],[Gerente de obra]]</f>
        <v>00000030Metzler Javier</v>
      </c>
      <c r="L31">
        <f>MATCH(Tabla7[[#This Row],[AUX]],Loockup_ObrasGerencia[[#All],[aux]],0)</f>
        <v>31</v>
      </c>
      <c r="O31" t="str">
        <f>UPPER(GERENCIAS[[#This Row],[Gerente de obra]])</f>
        <v>ORTIZ JUAN MANUEL</v>
      </c>
      <c r="R31" t="s">
        <v>96</v>
      </c>
      <c r="S31" t="s">
        <v>97</v>
      </c>
      <c r="T31" t="s">
        <v>19</v>
      </c>
      <c r="W31" s="8" t="s">
        <v>93</v>
      </c>
      <c r="X31" s="8" t="s">
        <v>92</v>
      </c>
      <c r="Y31" s="8" t="s">
        <v>17</v>
      </c>
      <c r="Z31" t="str">
        <f t="shared" si="0"/>
        <v>00000030SI</v>
      </c>
      <c r="AA31" s="11" t="e">
        <f>MATCH(Tabla9[[#This Row],[AUX]],Loockup_ObrasGerencia[[#All],[aux]],0)</f>
        <v>#N/A</v>
      </c>
    </row>
    <row r="32" spans="1:27" x14ac:dyDescent="0.25">
      <c r="A32" s="30" t="s">
        <v>95</v>
      </c>
      <c r="B32" s="30" t="s">
        <v>94</v>
      </c>
      <c r="C32" s="30" t="s">
        <v>17</v>
      </c>
      <c r="D32" s="30" t="str" cm="1">
        <f t="array" ref="D32">UPPER(_xlfn.XLOOKUP(Loockup_ObrasGerencia[[#This Row],[OBRA_PRONTO]],Tabla7[[#All],[Obra]],Tabla7[[#All],[Gerente de obra]],"Sin Obra Asignada",0))</f>
        <v>FRANCISCO DI LISIO</v>
      </c>
      <c r="E32" s="31" t="str">
        <f>Loockup_ObrasGerencia[[#This Row],[OBRA_PRONTO]]&amp;Loockup_ObrasGerencia[[#This Row],[GERENCIA]]</f>
        <v>00000031FRANCISCO DI LISIO</v>
      </c>
      <c r="H32" t="s">
        <v>94</v>
      </c>
      <c r="I32" t="s">
        <v>95</v>
      </c>
      <c r="J32" t="s">
        <v>79</v>
      </c>
      <c r="K32" t="str">
        <f>Tabla7[[#This Row],[Obra]]&amp;Tabla7[[#This Row],[Gerente de obra]]</f>
        <v>00000031Francisco Di Lisio</v>
      </c>
      <c r="L32">
        <f>MATCH(Tabla7[[#This Row],[AUX]],Loockup_ObrasGerencia[[#All],[aux]],0)</f>
        <v>32</v>
      </c>
      <c r="O32" t="str">
        <f>UPPER(GERENCIAS[[#This Row],[Gerente de obra]])</f>
        <v>ORTIZ JUAN MANUEL</v>
      </c>
      <c r="R32" t="s">
        <v>98</v>
      </c>
      <c r="S32" t="s">
        <v>99</v>
      </c>
      <c r="T32" t="s">
        <v>19</v>
      </c>
      <c r="W32" s="8" t="s">
        <v>95</v>
      </c>
      <c r="X32" s="8" t="s">
        <v>94</v>
      </c>
      <c r="Y32" s="8" t="s">
        <v>17</v>
      </c>
      <c r="Z32" t="str">
        <f t="shared" si="0"/>
        <v>00000031SI</v>
      </c>
      <c r="AA32" s="11" t="e">
        <f>MATCH(Tabla9[[#This Row],[AUX]],Loockup_ObrasGerencia[[#All],[aux]],0)</f>
        <v>#N/A</v>
      </c>
    </row>
    <row r="33" spans="1:27" x14ac:dyDescent="0.25">
      <c r="A33" s="30" t="s">
        <v>97</v>
      </c>
      <c r="B33" s="30" t="s">
        <v>96</v>
      </c>
      <c r="C33" s="30" t="s">
        <v>17</v>
      </c>
      <c r="D33" s="30" t="str" cm="1">
        <f t="array" ref="D33">UPPER(_xlfn.XLOOKUP(Loockup_ObrasGerencia[[#This Row],[OBRA_PRONTO]],Tabla7[[#All],[Obra]],Tabla7[[#All],[Gerente de obra]],"Sin Obra Asignada",0))</f>
        <v>ORTIZ JUAN MANUEL</v>
      </c>
      <c r="E33" s="31" t="str">
        <f>Loockup_ObrasGerencia[[#This Row],[OBRA_PRONTO]]&amp;Loockup_ObrasGerencia[[#This Row],[GERENCIA]]</f>
        <v>00000032ORTIZ JUAN MANUEL</v>
      </c>
      <c r="H33" t="s">
        <v>96</v>
      </c>
      <c r="I33" t="s">
        <v>97</v>
      </c>
      <c r="J33" t="s">
        <v>18</v>
      </c>
      <c r="K33" t="str">
        <f>Tabla7[[#This Row],[Obra]]&amp;Tabla7[[#This Row],[Gerente de obra]]</f>
        <v>00000032Ortiz Juan Manuel</v>
      </c>
      <c r="L33">
        <f>MATCH(Tabla7[[#This Row],[AUX]],Loockup_ObrasGerencia[[#All],[aux]],0)</f>
        <v>33</v>
      </c>
      <c r="O33" t="str">
        <f>UPPER(GERENCIAS[[#This Row],[Gerente de obra]])</f>
        <v>ORTIZ JUAN MANUEL</v>
      </c>
      <c r="R33" t="s">
        <v>100</v>
      </c>
      <c r="S33" t="s">
        <v>101</v>
      </c>
      <c r="T33" t="s">
        <v>19</v>
      </c>
      <c r="W33" s="8" t="s">
        <v>97</v>
      </c>
      <c r="X33" s="8" t="s">
        <v>96</v>
      </c>
      <c r="Y33" s="8" t="s">
        <v>17</v>
      </c>
      <c r="Z33" t="str">
        <f t="shared" si="0"/>
        <v>00000032SI</v>
      </c>
      <c r="AA33" s="11" t="e">
        <f>MATCH(Tabla9[[#This Row],[AUX]],Loockup_ObrasGerencia[[#All],[aux]],0)</f>
        <v>#N/A</v>
      </c>
    </row>
    <row r="34" spans="1:27" x14ac:dyDescent="0.25">
      <c r="A34" s="30" t="s">
        <v>99</v>
      </c>
      <c r="B34" s="30" t="s">
        <v>98</v>
      </c>
      <c r="C34" s="30" t="s">
        <v>17</v>
      </c>
      <c r="D34" s="30" t="str" cm="1">
        <f t="array" ref="D34">UPPER(_xlfn.XLOOKUP(Loockup_ObrasGerencia[[#This Row],[OBRA_PRONTO]],Tabla7[[#All],[Obra]],Tabla7[[#All],[Gerente de obra]],"Sin Obra Asignada",0))</f>
        <v>ORTIZ JUAN MANUEL</v>
      </c>
      <c r="E34" s="31" t="str">
        <f>Loockup_ObrasGerencia[[#This Row],[OBRA_PRONTO]]&amp;Loockup_ObrasGerencia[[#This Row],[GERENCIA]]</f>
        <v>00000033ORTIZ JUAN MANUEL</v>
      </c>
      <c r="H34" t="s">
        <v>98</v>
      </c>
      <c r="I34" t="s">
        <v>99</v>
      </c>
      <c r="J34" t="s">
        <v>18</v>
      </c>
      <c r="K34" t="str">
        <f>Tabla7[[#This Row],[Obra]]&amp;Tabla7[[#This Row],[Gerente de obra]]</f>
        <v>00000033Ortiz Juan Manuel</v>
      </c>
      <c r="L34">
        <f>MATCH(Tabla7[[#This Row],[AUX]],Loockup_ObrasGerencia[[#All],[aux]],0)</f>
        <v>34</v>
      </c>
      <c r="O34" t="str">
        <f>UPPER(GERENCIAS[[#This Row],[Gerente de obra]])</f>
        <v>ORTIZ JUAN MANUEL</v>
      </c>
      <c r="R34" t="s">
        <v>102</v>
      </c>
      <c r="S34" t="s">
        <v>103</v>
      </c>
      <c r="T34" t="s">
        <v>19</v>
      </c>
      <c r="W34" s="8" t="s">
        <v>99</v>
      </c>
      <c r="X34" s="8" t="s">
        <v>98</v>
      </c>
      <c r="Y34" s="8" t="s">
        <v>17</v>
      </c>
      <c r="Z34" t="str">
        <f t="shared" si="0"/>
        <v>00000033SI</v>
      </c>
      <c r="AA34" s="11" t="e">
        <f>MATCH(Tabla9[[#This Row],[AUX]],Loockup_ObrasGerencia[[#All],[aux]],0)</f>
        <v>#N/A</v>
      </c>
    </row>
    <row r="35" spans="1:27" x14ac:dyDescent="0.25">
      <c r="A35" s="30" t="s">
        <v>101</v>
      </c>
      <c r="B35" s="30" t="s">
        <v>100</v>
      </c>
      <c r="C35" s="30" t="s">
        <v>17</v>
      </c>
      <c r="D35" s="30" t="str" cm="1">
        <f t="array" ref="D35">UPPER(_xlfn.XLOOKUP(Loockup_ObrasGerencia[[#This Row],[OBRA_PRONTO]],Tabla7[[#All],[Obra]],Tabla7[[#All],[Gerente de obra]],"Sin Obra Asignada",0))</f>
        <v>ORTIZ JUAN MANUEL</v>
      </c>
      <c r="E35" s="31" t="str">
        <f>Loockup_ObrasGerencia[[#This Row],[OBRA_PRONTO]]&amp;Loockup_ObrasGerencia[[#This Row],[GERENCIA]]</f>
        <v>00000034ORTIZ JUAN MANUEL</v>
      </c>
      <c r="H35" t="s">
        <v>100</v>
      </c>
      <c r="I35" t="s">
        <v>101</v>
      </c>
      <c r="J35" t="s">
        <v>18</v>
      </c>
      <c r="K35" t="str">
        <f>Tabla7[[#This Row],[Obra]]&amp;Tabla7[[#This Row],[Gerente de obra]]</f>
        <v>00000034Ortiz Juan Manuel</v>
      </c>
      <c r="L35">
        <f>MATCH(Tabla7[[#This Row],[AUX]],Loockup_ObrasGerencia[[#All],[aux]],0)</f>
        <v>35</v>
      </c>
      <c r="O35" t="str">
        <f>UPPER(GERENCIAS[[#This Row],[Gerente de obra]])</f>
        <v>ORTIZ JUAN MANUEL</v>
      </c>
      <c r="R35" t="s">
        <v>104</v>
      </c>
      <c r="S35" t="s">
        <v>105</v>
      </c>
      <c r="T35" t="s">
        <v>19</v>
      </c>
      <c r="W35" s="8" t="s">
        <v>101</v>
      </c>
      <c r="X35" s="8" t="s">
        <v>100</v>
      </c>
      <c r="Y35" s="8" t="s">
        <v>17</v>
      </c>
      <c r="Z35" t="str">
        <f t="shared" si="0"/>
        <v>00000034SI</v>
      </c>
      <c r="AA35" s="11" t="e">
        <f>MATCH(Tabla9[[#This Row],[AUX]],Loockup_ObrasGerencia[[#All],[aux]],0)</f>
        <v>#N/A</v>
      </c>
    </row>
    <row r="36" spans="1:27" x14ac:dyDescent="0.25">
      <c r="A36" s="30" t="s">
        <v>103</v>
      </c>
      <c r="B36" s="30" t="s">
        <v>102</v>
      </c>
      <c r="C36" s="30" t="s">
        <v>17</v>
      </c>
      <c r="D36" s="30" t="str" cm="1">
        <f t="array" ref="D36">UPPER(_xlfn.XLOOKUP(Loockup_ObrasGerencia[[#This Row],[OBRA_PRONTO]],Tabla7[[#All],[Obra]],Tabla7[[#All],[Gerente de obra]],"Sin Obra Asignada",0))</f>
        <v>ORTIZ JUAN MANUEL</v>
      </c>
      <c r="E36" s="31" t="str">
        <f>Loockup_ObrasGerencia[[#This Row],[OBRA_PRONTO]]&amp;Loockup_ObrasGerencia[[#This Row],[GERENCIA]]</f>
        <v>00000035ORTIZ JUAN MANUEL</v>
      </c>
      <c r="H36" t="s">
        <v>102</v>
      </c>
      <c r="I36" t="s">
        <v>103</v>
      </c>
      <c r="J36" t="s">
        <v>18</v>
      </c>
      <c r="K36" t="str">
        <f>Tabla7[[#This Row],[Obra]]&amp;Tabla7[[#This Row],[Gerente de obra]]</f>
        <v>00000035Ortiz Juan Manuel</v>
      </c>
      <c r="L36">
        <f>MATCH(Tabla7[[#This Row],[AUX]],Loockup_ObrasGerencia[[#All],[aux]],0)</f>
        <v>36</v>
      </c>
      <c r="O36" t="str">
        <f>UPPER(GERENCIAS[[#This Row],[Gerente de obra]])</f>
        <v>SANCHEZ OSCAR</v>
      </c>
      <c r="R36" t="s">
        <v>106</v>
      </c>
      <c r="S36" t="s">
        <v>107</v>
      </c>
      <c r="T36" t="s">
        <v>53</v>
      </c>
      <c r="W36" s="8" t="s">
        <v>103</v>
      </c>
      <c r="X36" s="8" t="s">
        <v>102</v>
      </c>
      <c r="Y36" s="8" t="s">
        <v>17</v>
      </c>
      <c r="Z36" t="str">
        <f t="shared" si="0"/>
        <v>00000035SI</v>
      </c>
      <c r="AA36" s="11" t="e">
        <f>MATCH(Tabla9[[#This Row],[AUX]],Loockup_ObrasGerencia[[#All],[aux]],0)</f>
        <v>#N/A</v>
      </c>
    </row>
    <row r="37" spans="1:27" x14ac:dyDescent="0.25">
      <c r="A37" s="30" t="s">
        <v>105</v>
      </c>
      <c r="B37" s="30" t="s">
        <v>104</v>
      </c>
      <c r="C37" s="30" t="s">
        <v>17</v>
      </c>
      <c r="D37" s="30" t="str" cm="1">
        <f t="array" ref="D37">UPPER(_xlfn.XLOOKUP(Loockup_ObrasGerencia[[#This Row],[OBRA_PRONTO]],Tabla7[[#All],[Obra]],Tabla7[[#All],[Gerente de obra]],"Sin Obra Asignada",0))</f>
        <v>ORTIZ JUAN MANUEL</v>
      </c>
      <c r="E37" s="31" t="str">
        <f>Loockup_ObrasGerencia[[#This Row],[OBRA_PRONTO]]&amp;Loockup_ObrasGerencia[[#This Row],[GERENCIA]]</f>
        <v>00000036ORTIZ JUAN MANUEL</v>
      </c>
      <c r="H37" t="s">
        <v>104</v>
      </c>
      <c r="I37" t="s">
        <v>105</v>
      </c>
      <c r="J37" t="s">
        <v>18</v>
      </c>
      <c r="K37" t="str">
        <f>Tabla7[[#This Row],[Obra]]&amp;Tabla7[[#This Row],[Gerente de obra]]</f>
        <v>00000036Ortiz Juan Manuel</v>
      </c>
      <c r="L37">
        <f>MATCH(Tabla7[[#This Row],[AUX]],Loockup_ObrasGerencia[[#All],[aux]],0)</f>
        <v>37</v>
      </c>
      <c r="O37" t="str">
        <f>UPPER(GERENCIAS[[#This Row],[Gerente de obra]])</f>
        <v>ORTIZ JUAN MANUEL</v>
      </c>
      <c r="R37" t="s">
        <v>108</v>
      </c>
      <c r="S37" t="s">
        <v>109</v>
      </c>
      <c r="T37" t="s">
        <v>19</v>
      </c>
      <c r="W37" s="8" t="s">
        <v>105</v>
      </c>
      <c r="X37" s="8" t="s">
        <v>104</v>
      </c>
      <c r="Y37" s="8" t="s">
        <v>17</v>
      </c>
      <c r="Z37" t="str">
        <f t="shared" si="0"/>
        <v>00000036SI</v>
      </c>
      <c r="AA37" s="11" t="e">
        <f>MATCH(Tabla9[[#This Row],[AUX]],Loockup_ObrasGerencia[[#All],[aux]],0)</f>
        <v>#N/A</v>
      </c>
    </row>
    <row r="38" spans="1:27" x14ac:dyDescent="0.25">
      <c r="A38" s="30" t="s">
        <v>107</v>
      </c>
      <c r="B38" s="30" t="s">
        <v>106</v>
      </c>
      <c r="C38" s="30" t="s">
        <v>17</v>
      </c>
      <c r="D38" s="30" t="str" cm="1">
        <f t="array" ref="D38">UPPER(_xlfn.XLOOKUP(Loockup_ObrasGerencia[[#This Row],[OBRA_PRONTO]],Tabla7[[#All],[Obra]],Tabla7[[#All],[Gerente de obra]],"Sin Obra Asignada",0))</f>
        <v>SANCHEZ OSCAR</v>
      </c>
      <c r="E38" s="31" t="str">
        <f>Loockup_ObrasGerencia[[#This Row],[OBRA_PRONTO]]&amp;Loockup_ObrasGerencia[[#This Row],[GERENCIA]]</f>
        <v>00000037SANCHEZ OSCAR</v>
      </c>
      <c r="H38" t="s">
        <v>106</v>
      </c>
      <c r="I38" t="s">
        <v>107</v>
      </c>
      <c r="J38" t="s">
        <v>52</v>
      </c>
      <c r="K38" t="str">
        <f>Tabla7[[#This Row],[Obra]]&amp;Tabla7[[#This Row],[Gerente de obra]]</f>
        <v>00000037Sanchez Oscar</v>
      </c>
      <c r="L38">
        <f>MATCH(Tabla7[[#This Row],[AUX]],Loockup_ObrasGerencia[[#All],[aux]],0)</f>
        <v>38</v>
      </c>
      <c r="O38" t="str">
        <f>UPPER(GERENCIAS[[#This Row],[Gerente de obra]])</f>
        <v>SANCHEZ OSCAR</v>
      </c>
      <c r="R38" t="s">
        <v>110</v>
      </c>
      <c r="S38" t="s">
        <v>111</v>
      </c>
      <c r="T38" t="s">
        <v>53</v>
      </c>
      <c r="W38" s="8" t="s">
        <v>107</v>
      </c>
      <c r="X38" s="8" t="s">
        <v>106</v>
      </c>
      <c r="Y38" s="8" t="s">
        <v>17</v>
      </c>
      <c r="Z38" t="str">
        <f t="shared" si="0"/>
        <v>00000037SI</v>
      </c>
      <c r="AA38" s="11" t="e">
        <f>MATCH(Tabla9[[#This Row],[AUX]],Loockup_ObrasGerencia[[#All],[aux]],0)</f>
        <v>#N/A</v>
      </c>
    </row>
    <row r="39" spans="1:27" x14ac:dyDescent="0.25">
      <c r="A39" s="30" t="s">
        <v>109</v>
      </c>
      <c r="B39" s="30" t="s">
        <v>108</v>
      </c>
      <c r="C39" s="30" t="s">
        <v>17</v>
      </c>
      <c r="D39" s="30" t="str" cm="1">
        <f t="array" ref="D39">UPPER(_xlfn.XLOOKUP(Loockup_ObrasGerencia[[#This Row],[OBRA_PRONTO]],Tabla7[[#All],[Obra]],Tabla7[[#All],[Gerente de obra]],"Sin Obra Asignada",0))</f>
        <v>ORTIZ JUAN MANUEL</v>
      </c>
      <c r="E39" s="31" t="str">
        <f>Loockup_ObrasGerencia[[#This Row],[OBRA_PRONTO]]&amp;Loockup_ObrasGerencia[[#This Row],[GERENCIA]]</f>
        <v>00000038ORTIZ JUAN MANUEL</v>
      </c>
      <c r="H39" t="s">
        <v>108</v>
      </c>
      <c r="I39" t="s">
        <v>109</v>
      </c>
      <c r="J39" t="s">
        <v>18</v>
      </c>
      <c r="K39" t="str">
        <f>Tabla7[[#This Row],[Obra]]&amp;Tabla7[[#This Row],[Gerente de obra]]</f>
        <v>00000038Ortiz Juan Manuel</v>
      </c>
      <c r="L39">
        <f>MATCH(Tabla7[[#This Row],[AUX]],Loockup_ObrasGerencia[[#All],[aux]],0)</f>
        <v>39</v>
      </c>
      <c r="O39" t="str">
        <f>UPPER(GERENCIAS[[#This Row],[Gerente de obra]])</f>
        <v>ORTIZ JUAN MANUEL</v>
      </c>
      <c r="R39" t="s">
        <v>112</v>
      </c>
      <c r="S39" t="s">
        <v>113</v>
      </c>
      <c r="T39" t="s">
        <v>19</v>
      </c>
      <c r="W39" s="8" t="s">
        <v>109</v>
      </c>
      <c r="X39" s="8" t="s">
        <v>108</v>
      </c>
      <c r="Y39" s="8" t="s">
        <v>17</v>
      </c>
      <c r="Z39" t="str">
        <f t="shared" si="0"/>
        <v>00000038SI</v>
      </c>
      <c r="AA39" s="11" t="e">
        <f>MATCH(Tabla9[[#This Row],[AUX]],Loockup_ObrasGerencia[[#All],[aux]],0)</f>
        <v>#N/A</v>
      </c>
    </row>
    <row r="40" spans="1:27" x14ac:dyDescent="0.25">
      <c r="A40" s="30" t="s">
        <v>111</v>
      </c>
      <c r="B40" s="30" t="s">
        <v>110</v>
      </c>
      <c r="C40" s="30" t="s">
        <v>64</v>
      </c>
      <c r="D40" s="30" t="str" cm="1">
        <f t="array" ref="D40">UPPER(_xlfn.XLOOKUP(Loockup_ObrasGerencia[[#This Row],[OBRA_PRONTO]],Tabla7[[#All],[Obra]],Tabla7[[#All],[Gerente de obra]],"Sin Obra Asignada",0))</f>
        <v>SANCHEZ OSCAR</v>
      </c>
      <c r="E40" s="31" t="str">
        <f>Loockup_ObrasGerencia[[#This Row],[OBRA_PRONTO]]&amp;Loockup_ObrasGerencia[[#This Row],[GERENCIA]]</f>
        <v>00000039SANCHEZ OSCAR</v>
      </c>
      <c r="H40" t="s">
        <v>110</v>
      </c>
      <c r="I40" t="s">
        <v>111</v>
      </c>
      <c r="J40" t="s">
        <v>52</v>
      </c>
      <c r="K40" t="str">
        <f>Tabla7[[#This Row],[Obra]]&amp;Tabla7[[#This Row],[Gerente de obra]]</f>
        <v>00000039Sanchez Oscar</v>
      </c>
      <c r="L40">
        <f>MATCH(Tabla7[[#This Row],[AUX]],Loockup_ObrasGerencia[[#All],[aux]],0)</f>
        <v>40</v>
      </c>
      <c r="O40" t="str">
        <f>UPPER(GERENCIAS[[#This Row],[Gerente de obra]])</f>
        <v>TRUJILLO</v>
      </c>
      <c r="R40" t="s">
        <v>114</v>
      </c>
      <c r="S40" t="s">
        <v>115</v>
      </c>
      <c r="T40" t="s">
        <v>25</v>
      </c>
      <c r="W40" s="8" t="s">
        <v>111</v>
      </c>
      <c r="X40" s="8" t="s">
        <v>110</v>
      </c>
      <c r="Y40" s="8" t="s">
        <v>64</v>
      </c>
      <c r="Z40" t="str">
        <f t="shared" si="0"/>
        <v>00000039ADMINISTRACION</v>
      </c>
      <c r="AA40" s="11" t="e">
        <f>MATCH(Tabla9[[#This Row],[AUX]],Loockup_ObrasGerencia[[#All],[aux]],0)</f>
        <v>#N/A</v>
      </c>
    </row>
    <row r="41" spans="1:27" x14ac:dyDescent="0.25">
      <c r="A41" s="30" t="s">
        <v>113</v>
      </c>
      <c r="B41" s="30" t="s">
        <v>112</v>
      </c>
      <c r="C41" s="30" t="s">
        <v>17</v>
      </c>
      <c r="D41" s="30" t="str" cm="1">
        <f t="array" ref="D41">UPPER(_xlfn.XLOOKUP(Loockup_ObrasGerencia[[#This Row],[OBRA_PRONTO]],Tabla7[[#All],[Obra]],Tabla7[[#All],[Gerente de obra]],"Sin Obra Asignada",0))</f>
        <v>ORTIZ JUAN MANUEL</v>
      </c>
      <c r="E41" s="31" t="str">
        <f>Loockup_ObrasGerencia[[#This Row],[OBRA_PRONTO]]&amp;Loockup_ObrasGerencia[[#This Row],[GERENCIA]]</f>
        <v>00000040ORTIZ JUAN MANUEL</v>
      </c>
      <c r="H41" t="s">
        <v>112</v>
      </c>
      <c r="I41" t="s">
        <v>113</v>
      </c>
      <c r="J41" t="s">
        <v>18</v>
      </c>
      <c r="K41" t="str">
        <f>Tabla7[[#This Row],[Obra]]&amp;Tabla7[[#This Row],[Gerente de obra]]</f>
        <v>00000040Ortiz Juan Manuel</v>
      </c>
      <c r="L41">
        <f>MATCH(Tabla7[[#This Row],[AUX]],Loockup_ObrasGerencia[[#All],[aux]],0)</f>
        <v>41</v>
      </c>
      <c r="O41" t="str">
        <f>UPPER(GERENCIAS[[#This Row],[Gerente de obra]])</f>
        <v>SANCHEZ OSCAR</v>
      </c>
      <c r="R41" t="s">
        <v>116</v>
      </c>
      <c r="S41" t="s">
        <v>117</v>
      </c>
      <c r="T41" t="s">
        <v>53</v>
      </c>
      <c r="W41" s="8" t="s">
        <v>113</v>
      </c>
      <c r="X41" s="8" t="s">
        <v>112</v>
      </c>
      <c r="Y41" s="8" t="s">
        <v>17</v>
      </c>
      <c r="Z41" t="str">
        <f t="shared" si="0"/>
        <v>00000040SI</v>
      </c>
      <c r="AA41" s="11" t="e">
        <f>MATCH(Tabla9[[#This Row],[AUX]],Loockup_ObrasGerencia[[#All],[aux]],0)</f>
        <v>#N/A</v>
      </c>
    </row>
    <row r="42" spans="1:27" x14ac:dyDescent="0.25">
      <c r="A42" s="30" t="s">
        <v>115</v>
      </c>
      <c r="B42" s="30" t="s">
        <v>114</v>
      </c>
      <c r="C42" s="30" t="s">
        <v>17</v>
      </c>
      <c r="D42" s="30" t="str" cm="1">
        <f t="array" ref="D42">UPPER(_xlfn.XLOOKUP(Loockup_ObrasGerencia[[#This Row],[OBRA_PRONTO]],Tabla7[[#All],[Obra]],Tabla7[[#All],[Gerente de obra]],"Sin Obra Asignada",0))</f>
        <v>TRUJILLO</v>
      </c>
      <c r="E42" s="31" t="str">
        <f>Loockup_ObrasGerencia[[#This Row],[OBRA_PRONTO]]&amp;Loockup_ObrasGerencia[[#This Row],[GERENCIA]]</f>
        <v>00000041TRUJILLO</v>
      </c>
      <c r="H42" t="s">
        <v>114</v>
      </c>
      <c r="I42" t="s">
        <v>115</v>
      </c>
      <c r="J42" t="s">
        <v>24</v>
      </c>
      <c r="K42" t="str">
        <f>Tabla7[[#This Row],[Obra]]&amp;Tabla7[[#This Row],[Gerente de obra]]</f>
        <v>00000041Trujillo</v>
      </c>
      <c r="L42">
        <f>MATCH(Tabla7[[#This Row],[AUX]],Loockup_ObrasGerencia[[#All],[aux]],0)</f>
        <v>42</v>
      </c>
      <c r="O42" t="str">
        <f>UPPER(GERENCIAS[[#This Row],[Gerente de obra]])</f>
        <v>SANCHEZ OSCAR</v>
      </c>
      <c r="R42" t="s">
        <v>118</v>
      </c>
      <c r="S42" t="s">
        <v>119</v>
      </c>
      <c r="T42" t="s">
        <v>53</v>
      </c>
      <c r="W42" s="8" t="s">
        <v>115</v>
      </c>
      <c r="X42" s="8" t="s">
        <v>114</v>
      </c>
      <c r="Y42" s="8" t="s">
        <v>17</v>
      </c>
      <c r="Z42" t="str">
        <f t="shared" si="0"/>
        <v>00000041SI</v>
      </c>
      <c r="AA42" s="11" t="e">
        <f>MATCH(Tabla9[[#This Row],[AUX]],Loockup_ObrasGerencia[[#All],[aux]],0)</f>
        <v>#N/A</v>
      </c>
    </row>
    <row r="43" spans="1:27" x14ac:dyDescent="0.25">
      <c r="A43" s="30" t="s">
        <v>117</v>
      </c>
      <c r="B43" s="30" t="s">
        <v>116</v>
      </c>
      <c r="C43" s="30" t="s">
        <v>17</v>
      </c>
      <c r="D43" s="30" t="str" cm="1">
        <f t="array" ref="D43">UPPER(_xlfn.XLOOKUP(Loockup_ObrasGerencia[[#This Row],[OBRA_PRONTO]],Tabla7[[#All],[Obra]],Tabla7[[#All],[Gerente de obra]],"Sin Obra Asignada",0))</f>
        <v>SANCHEZ OSCAR</v>
      </c>
      <c r="E43" s="31" t="str">
        <f>Loockup_ObrasGerencia[[#This Row],[OBRA_PRONTO]]&amp;Loockup_ObrasGerencia[[#This Row],[GERENCIA]]</f>
        <v>00000042SANCHEZ OSCAR</v>
      </c>
      <c r="H43" t="s">
        <v>116</v>
      </c>
      <c r="I43" t="s">
        <v>117</v>
      </c>
      <c r="J43" t="s">
        <v>52</v>
      </c>
      <c r="K43" t="str">
        <f>Tabla7[[#This Row],[Obra]]&amp;Tabla7[[#This Row],[Gerente de obra]]</f>
        <v>00000042Sanchez Oscar</v>
      </c>
      <c r="L43">
        <f>MATCH(Tabla7[[#This Row],[AUX]],Loockup_ObrasGerencia[[#All],[aux]],0)</f>
        <v>43</v>
      </c>
      <c r="O43" t="str">
        <f>UPPER(GERENCIAS[[#This Row],[Gerente de obra]])</f>
        <v>ORTIZ JUAN MANUEL</v>
      </c>
      <c r="R43" t="s">
        <v>120</v>
      </c>
      <c r="S43" t="s">
        <v>121</v>
      </c>
      <c r="T43" t="s">
        <v>19</v>
      </c>
      <c r="W43" s="8" t="s">
        <v>117</v>
      </c>
      <c r="X43" s="8" t="s">
        <v>116</v>
      </c>
      <c r="Y43" s="8" t="s">
        <v>17</v>
      </c>
      <c r="Z43" t="str">
        <f t="shared" si="0"/>
        <v>00000042SI</v>
      </c>
      <c r="AA43" s="11" t="e">
        <f>MATCH(Tabla9[[#This Row],[AUX]],Loockup_ObrasGerencia[[#All],[aux]],0)</f>
        <v>#N/A</v>
      </c>
    </row>
    <row r="44" spans="1:27" x14ac:dyDescent="0.25">
      <c r="A44" s="30" t="s">
        <v>119</v>
      </c>
      <c r="B44" s="30" t="s">
        <v>118</v>
      </c>
      <c r="C44" s="30" t="s">
        <v>17</v>
      </c>
      <c r="D44" s="30" t="str" cm="1">
        <f t="array" ref="D44">UPPER(_xlfn.XLOOKUP(Loockup_ObrasGerencia[[#This Row],[OBRA_PRONTO]],Tabla7[[#All],[Obra]],Tabla7[[#All],[Gerente de obra]],"Sin Obra Asignada",0))</f>
        <v>SANCHEZ OSCAR</v>
      </c>
      <c r="E44" s="31" t="str">
        <f>Loockup_ObrasGerencia[[#This Row],[OBRA_PRONTO]]&amp;Loockup_ObrasGerencia[[#This Row],[GERENCIA]]</f>
        <v>00000043SANCHEZ OSCAR</v>
      </c>
      <c r="H44" t="s">
        <v>118</v>
      </c>
      <c r="I44" t="s">
        <v>119</v>
      </c>
      <c r="J44" t="s">
        <v>52</v>
      </c>
      <c r="K44" t="str">
        <f>Tabla7[[#This Row],[Obra]]&amp;Tabla7[[#This Row],[Gerente de obra]]</f>
        <v>00000043Sanchez Oscar</v>
      </c>
      <c r="L44">
        <f>MATCH(Tabla7[[#This Row],[AUX]],Loockup_ObrasGerencia[[#All],[aux]],0)</f>
        <v>44</v>
      </c>
      <c r="O44" t="str">
        <f>UPPER(GERENCIAS[[#This Row],[Gerente de obra]])</f>
        <v>CALDERON JUAN IGNACIO</v>
      </c>
      <c r="R44" t="s">
        <v>122</v>
      </c>
      <c r="S44" t="s">
        <v>123</v>
      </c>
      <c r="T44" t="s">
        <v>35</v>
      </c>
      <c r="W44" s="8" t="s">
        <v>119</v>
      </c>
      <c r="X44" s="8" t="s">
        <v>118</v>
      </c>
      <c r="Y44" s="8" t="s">
        <v>17</v>
      </c>
      <c r="Z44" t="str">
        <f t="shared" si="0"/>
        <v>00000043SI</v>
      </c>
      <c r="AA44" s="11" t="e">
        <f>MATCH(Tabla9[[#This Row],[AUX]],Loockup_ObrasGerencia[[#All],[aux]],0)</f>
        <v>#N/A</v>
      </c>
    </row>
    <row r="45" spans="1:27" x14ac:dyDescent="0.25">
      <c r="A45" s="30" t="s">
        <v>124</v>
      </c>
      <c r="B45" s="30" t="s">
        <v>125</v>
      </c>
      <c r="C45" s="30" t="s">
        <v>17</v>
      </c>
      <c r="D45" s="30" t="str" cm="1">
        <f t="array" ref="D45">UPPER(_xlfn.XLOOKUP(Loockup_ObrasGerencia[[#This Row],[OBRA_PRONTO]],Tabla7[[#All],[Obra]],Tabla7[[#All],[Gerente de obra]],"Sin Obra Asignada",0))</f>
        <v>SIN ASIGNACION</v>
      </c>
      <c r="E45" s="31" t="str">
        <f>Loockup_ObrasGerencia[[#This Row],[OBRA_PRONTO]]&amp;Loockup_ObrasGerencia[[#This Row],[GERENCIA]]</f>
        <v>00000044SIN ASIGNACION</v>
      </c>
      <c r="H45" t="s">
        <v>125</v>
      </c>
      <c r="I45" t="s">
        <v>124</v>
      </c>
      <c r="J45" t="s">
        <v>1401</v>
      </c>
      <c r="K45" t="str">
        <f>Tabla7[[#This Row],[Obra]]&amp;Tabla7[[#This Row],[Gerente de obra]]</f>
        <v>00000044SIN ASIGNACION</v>
      </c>
      <c r="L45">
        <f>MATCH(Tabla7[[#This Row],[AUX]],Loockup_ObrasGerencia[[#All],[aux]],0)</f>
        <v>45</v>
      </c>
      <c r="O45" t="str">
        <f>UPPER(GERENCIAS[[#This Row],[Gerente de obra]])</f>
        <v>ORTIZ JUAN MANUEL</v>
      </c>
      <c r="R45" t="s">
        <v>126</v>
      </c>
      <c r="S45" t="s">
        <v>127</v>
      </c>
      <c r="T45" t="s">
        <v>19</v>
      </c>
      <c r="W45" s="8" t="s">
        <v>124</v>
      </c>
      <c r="X45" s="8" t="s">
        <v>125</v>
      </c>
      <c r="Y45" s="8" t="s">
        <v>17</v>
      </c>
      <c r="Z45" t="str">
        <f t="shared" si="0"/>
        <v>00000044SI</v>
      </c>
      <c r="AA45" s="11" t="e">
        <f>MATCH(Tabla9[[#This Row],[AUX]],Loockup_ObrasGerencia[[#All],[aux]],0)</f>
        <v>#N/A</v>
      </c>
    </row>
    <row r="46" spans="1:27" x14ac:dyDescent="0.25">
      <c r="A46" s="30" t="s">
        <v>121</v>
      </c>
      <c r="B46" s="30" t="s">
        <v>120</v>
      </c>
      <c r="C46" s="30" t="s">
        <v>17</v>
      </c>
      <c r="D46" s="30" t="str" cm="1">
        <f t="array" ref="D46">UPPER(_xlfn.XLOOKUP(Loockup_ObrasGerencia[[#This Row],[OBRA_PRONTO]],Tabla7[[#All],[Obra]],Tabla7[[#All],[Gerente de obra]],"Sin Obra Asignada",0))</f>
        <v>ORTIZ JUAN MANUEL</v>
      </c>
      <c r="E46" s="31" t="str">
        <f>Loockup_ObrasGerencia[[#This Row],[OBRA_PRONTO]]&amp;Loockup_ObrasGerencia[[#This Row],[GERENCIA]]</f>
        <v>00000045ORTIZ JUAN MANUEL</v>
      </c>
      <c r="H46" t="s">
        <v>120</v>
      </c>
      <c r="I46" t="s">
        <v>121</v>
      </c>
      <c r="J46" t="s">
        <v>18</v>
      </c>
      <c r="K46" t="str">
        <f>Tabla7[[#This Row],[Obra]]&amp;Tabla7[[#This Row],[Gerente de obra]]</f>
        <v>00000045Ortiz Juan Manuel</v>
      </c>
      <c r="L46">
        <f>MATCH(Tabla7[[#This Row],[AUX]],Loockup_ObrasGerencia[[#All],[aux]],0)</f>
        <v>46</v>
      </c>
      <c r="O46" t="str">
        <f>UPPER(GERENCIAS[[#This Row],[Gerente de obra]])</f>
        <v>CALDERON JUAN IGNACIO</v>
      </c>
      <c r="R46" t="s">
        <v>128</v>
      </c>
      <c r="S46" t="s">
        <v>129</v>
      </c>
      <c r="T46" t="s">
        <v>35</v>
      </c>
      <c r="W46" s="8" t="s">
        <v>121</v>
      </c>
      <c r="X46" s="8" t="s">
        <v>120</v>
      </c>
      <c r="Y46" s="8" t="s">
        <v>17</v>
      </c>
      <c r="Z46" t="str">
        <f t="shared" si="0"/>
        <v>00000045SI</v>
      </c>
      <c r="AA46" s="11" t="e">
        <f>MATCH(Tabla9[[#This Row],[AUX]],Loockup_ObrasGerencia[[#All],[aux]],0)</f>
        <v>#N/A</v>
      </c>
    </row>
    <row r="47" spans="1:27" x14ac:dyDescent="0.25">
      <c r="A47" s="30" t="s">
        <v>123</v>
      </c>
      <c r="B47" s="30" t="s">
        <v>122</v>
      </c>
      <c r="C47" s="30" t="s">
        <v>33</v>
      </c>
      <c r="D47" s="30" t="str" cm="1">
        <f t="array" ref="D47">UPPER(_xlfn.XLOOKUP(Loockup_ObrasGerencia[[#This Row],[OBRA_PRONTO]],Tabla7[[#All],[Obra]],Tabla7[[#All],[Gerente de obra]],"Sin Obra Asignada",0))</f>
        <v>CALDERON JUAN IGNACIO</v>
      </c>
      <c r="E47" s="31" t="str">
        <f>Loockup_ObrasGerencia[[#This Row],[OBRA_PRONTO]]&amp;Loockup_ObrasGerencia[[#This Row],[GERENCIA]]</f>
        <v>00000046CALDERON JUAN IGNACIO</v>
      </c>
      <c r="H47" t="s">
        <v>122</v>
      </c>
      <c r="I47" t="s">
        <v>123</v>
      </c>
      <c r="J47" t="s">
        <v>34</v>
      </c>
      <c r="K47" t="str">
        <f>Tabla7[[#This Row],[Obra]]&amp;Tabla7[[#This Row],[Gerente de obra]]</f>
        <v>00000046Calderon Juan Ignacio</v>
      </c>
      <c r="L47">
        <f>MATCH(Tabla7[[#This Row],[AUX]],Loockup_ObrasGerencia[[#All],[aux]],0)</f>
        <v>47</v>
      </c>
      <c r="O47" t="str">
        <f>UPPER(GERENCIAS[[#This Row],[Gerente de obra]])</f>
        <v>BARONE ALBERTO</v>
      </c>
      <c r="R47" t="s">
        <v>130</v>
      </c>
      <c r="S47" t="s">
        <v>131</v>
      </c>
      <c r="T47" t="s">
        <v>132</v>
      </c>
      <c r="W47" s="8" t="s">
        <v>123</v>
      </c>
      <c r="X47" s="8" t="s">
        <v>122</v>
      </c>
      <c r="Y47" s="8" t="s">
        <v>33</v>
      </c>
      <c r="Z47" t="str">
        <f t="shared" si="0"/>
        <v>00000046COMPENSABLE BRIC</v>
      </c>
      <c r="AA47" s="11" t="e">
        <f>MATCH(Tabla9[[#This Row],[AUX]],Loockup_ObrasGerencia[[#All],[aux]],0)</f>
        <v>#N/A</v>
      </c>
    </row>
    <row r="48" spans="1:27" x14ac:dyDescent="0.25">
      <c r="A48" s="30" t="s">
        <v>127</v>
      </c>
      <c r="B48" s="30" t="s">
        <v>126</v>
      </c>
      <c r="C48" s="30" t="s">
        <v>17</v>
      </c>
      <c r="D48" s="30" t="str" cm="1">
        <f t="array" ref="D48">UPPER(_xlfn.XLOOKUP(Loockup_ObrasGerencia[[#This Row],[OBRA_PRONTO]],Tabla7[[#All],[Obra]],Tabla7[[#All],[Gerente de obra]],"Sin Obra Asignada",0))</f>
        <v>ORTIZ JUAN MANUEL</v>
      </c>
      <c r="E48" s="31" t="str">
        <f>Loockup_ObrasGerencia[[#This Row],[OBRA_PRONTO]]&amp;Loockup_ObrasGerencia[[#This Row],[GERENCIA]]</f>
        <v>00000047ORTIZ JUAN MANUEL</v>
      </c>
      <c r="H48" t="s">
        <v>126</v>
      </c>
      <c r="I48" t="s">
        <v>127</v>
      </c>
      <c r="J48" t="s">
        <v>18</v>
      </c>
      <c r="K48" t="str">
        <f>Tabla7[[#This Row],[Obra]]&amp;Tabla7[[#This Row],[Gerente de obra]]</f>
        <v>00000047Ortiz Juan Manuel</v>
      </c>
      <c r="L48">
        <f>MATCH(Tabla7[[#This Row],[AUX]],Loockup_ObrasGerencia[[#All],[aux]],0)</f>
        <v>48</v>
      </c>
      <c r="O48" t="str">
        <f>UPPER(GERENCIAS[[#This Row],[Gerente de obra]])</f>
        <v>SANCHEZ OSCAR</v>
      </c>
      <c r="R48" t="s">
        <v>133</v>
      </c>
      <c r="S48" t="s">
        <v>134</v>
      </c>
      <c r="T48" t="s">
        <v>53</v>
      </c>
      <c r="W48" s="8" t="s">
        <v>127</v>
      </c>
      <c r="X48" s="8" t="s">
        <v>126</v>
      </c>
      <c r="Y48" s="8" t="s">
        <v>17</v>
      </c>
      <c r="Z48" t="str">
        <f t="shared" si="0"/>
        <v>00000047SI</v>
      </c>
      <c r="AA48" s="11" t="e">
        <f>MATCH(Tabla9[[#This Row],[AUX]],Loockup_ObrasGerencia[[#All],[aux]],0)</f>
        <v>#N/A</v>
      </c>
    </row>
    <row r="49" spans="1:27" x14ac:dyDescent="0.25">
      <c r="A49" s="30" t="s">
        <v>135</v>
      </c>
      <c r="B49" s="30" t="s">
        <v>136</v>
      </c>
      <c r="C49" s="30" t="s">
        <v>17</v>
      </c>
      <c r="D49" s="30" t="str" cm="1">
        <f t="array" ref="D49">UPPER(_xlfn.XLOOKUP(Loockup_ObrasGerencia[[#This Row],[OBRA_PRONTO]],Tabla7[[#All],[Obra]],Tabla7[[#All],[Gerente de obra]],"Sin Obra Asignada",0))</f>
        <v>SIN ASIGNACION</v>
      </c>
      <c r="E49" s="31" t="str">
        <f>Loockup_ObrasGerencia[[#This Row],[OBRA_PRONTO]]&amp;Loockup_ObrasGerencia[[#This Row],[GERENCIA]]</f>
        <v>00000048SIN ASIGNACION</v>
      </c>
      <c r="H49" t="s">
        <v>136</v>
      </c>
      <c r="I49" t="s">
        <v>135</v>
      </c>
      <c r="J49" t="s">
        <v>1401</v>
      </c>
      <c r="K49" t="str">
        <f>Tabla7[[#This Row],[Obra]]&amp;Tabla7[[#This Row],[Gerente de obra]]</f>
        <v>00000048SIN ASIGNACION</v>
      </c>
      <c r="L49">
        <f>MATCH(Tabla7[[#This Row],[AUX]],Loockup_ObrasGerencia[[#All],[aux]],0)</f>
        <v>49</v>
      </c>
      <c r="O49" t="str">
        <f>UPPER(GERENCIAS[[#This Row],[Gerente de obra]])</f>
        <v>ORTIZ JUAN MANUEL</v>
      </c>
      <c r="R49" t="s">
        <v>137</v>
      </c>
      <c r="S49" t="s">
        <v>138</v>
      </c>
      <c r="T49" t="s">
        <v>19</v>
      </c>
      <c r="W49" s="8" t="s">
        <v>135</v>
      </c>
      <c r="X49" s="8" t="s">
        <v>136</v>
      </c>
      <c r="Y49" s="8" t="s">
        <v>17</v>
      </c>
      <c r="Z49" t="str">
        <f t="shared" si="0"/>
        <v>00000048SI</v>
      </c>
      <c r="AA49" s="11" t="e">
        <f>MATCH(Tabla9[[#This Row],[AUX]],Loockup_ObrasGerencia[[#All],[aux]],0)</f>
        <v>#N/A</v>
      </c>
    </row>
    <row r="50" spans="1:27" x14ac:dyDescent="0.25">
      <c r="A50" s="30" t="s">
        <v>129</v>
      </c>
      <c r="B50" s="30" t="s">
        <v>128</v>
      </c>
      <c r="C50" s="30" t="s">
        <v>17</v>
      </c>
      <c r="D50" s="30" t="str" cm="1">
        <f t="array" ref="D50">UPPER(_xlfn.XLOOKUP(Loockup_ObrasGerencia[[#This Row],[OBRA_PRONTO]],Tabla7[[#All],[Obra]],Tabla7[[#All],[Gerente de obra]],"Sin Obra Asignada",0))</f>
        <v>CALDERON JUAN IGNACIO</v>
      </c>
      <c r="E50" s="31" t="str">
        <f>Loockup_ObrasGerencia[[#This Row],[OBRA_PRONTO]]&amp;Loockup_ObrasGerencia[[#This Row],[GERENCIA]]</f>
        <v>00000049CALDERON JUAN IGNACIO</v>
      </c>
      <c r="H50" t="s">
        <v>128</v>
      </c>
      <c r="I50" t="s">
        <v>129</v>
      </c>
      <c r="J50" t="s">
        <v>34</v>
      </c>
      <c r="K50" t="str">
        <f>Tabla7[[#This Row],[Obra]]&amp;Tabla7[[#This Row],[Gerente de obra]]</f>
        <v>00000049Calderon Juan Ignacio</v>
      </c>
      <c r="L50">
        <f>MATCH(Tabla7[[#This Row],[AUX]],Loockup_ObrasGerencia[[#All],[aux]],0)</f>
        <v>50</v>
      </c>
      <c r="O50" t="str">
        <f>UPPER(GERENCIAS[[#This Row],[Gerente de obra]])</f>
        <v>ORTIZ JUAN MANUEL</v>
      </c>
      <c r="R50" t="s">
        <v>139</v>
      </c>
      <c r="S50" t="s">
        <v>140</v>
      </c>
      <c r="T50" t="s">
        <v>19</v>
      </c>
      <c r="W50" s="8" t="s">
        <v>129</v>
      </c>
      <c r="X50" s="8" t="s">
        <v>128</v>
      </c>
      <c r="Y50" s="8" t="s">
        <v>17</v>
      </c>
      <c r="Z50" t="str">
        <f t="shared" si="0"/>
        <v>00000049SI</v>
      </c>
      <c r="AA50" s="11" t="e">
        <f>MATCH(Tabla9[[#This Row],[AUX]],Loockup_ObrasGerencia[[#All],[aux]],0)</f>
        <v>#N/A</v>
      </c>
    </row>
    <row r="51" spans="1:27" x14ac:dyDescent="0.25">
      <c r="A51" s="30" t="s">
        <v>131</v>
      </c>
      <c r="B51" s="30" t="s">
        <v>130</v>
      </c>
      <c r="C51" s="30" t="s">
        <v>17</v>
      </c>
      <c r="D51" s="30" t="str" cm="1">
        <f t="array" ref="D51">UPPER(_xlfn.XLOOKUP(Loockup_ObrasGerencia[[#This Row],[OBRA_PRONTO]],Tabla7[[#All],[Obra]],Tabla7[[#All],[Gerente de obra]],"Sin Obra Asignada",0))</f>
        <v>BARONE ALBERTO</v>
      </c>
      <c r="E51" s="31" t="str">
        <f>Loockup_ObrasGerencia[[#This Row],[OBRA_PRONTO]]&amp;Loockup_ObrasGerencia[[#This Row],[GERENCIA]]</f>
        <v>00000050BARONE ALBERTO</v>
      </c>
      <c r="H51" t="s">
        <v>130</v>
      </c>
      <c r="I51" t="s">
        <v>131</v>
      </c>
      <c r="J51" t="s">
        <v>141</v>
      </c>
      <c r="K51" t="str">
        <f>Tabla7[[#This Row],[Obra]]&amp;Tabla7[[#This Row],[Gerente de obra]]</f>
        <v>00000050Barone Alberto</v>
      </c>
      <c r="L51">
        <f>MATCH(Tabla7[[#This Row],[AUX]],Loockup_ObrasGerencia[[#All],[aux]],0)</f>
        <v>51</v>
      </c>
      <c r="O51" t="str">
        <f>UPPER(GERENCIAS[[#This Row],[Gerente de obra]])</f>
        <v>SANCHEZ OSCAR</v>
      </c>
      <c r="R51" t="s">
        <v>142</v>
      </c>
      <c r="S51" t="s">
        <v>143</v>
      </c>
      <c r="T51" t="s">
        <v>53</v>
      </c>
      <c r="W51" s="8" t="s">
        <v>131</v>
      </c>
      <c r="X51" s="8" t="s">
        <v>130</v>
      </c>
      <c r="Y51" s="8" t="s">
        <v>17</v>
      </c>
      <c r="Z51" t="str">
        <f t="shared" si="0"/>
        <v>00000050SI</v>
      </c>
      <c r="AA51" s="11" t="e">
        <f>MATCH(Tabla9[[#This Row],[AUX]],Loockup_ObrasGerencia[[#All],[aux]],0)</f>
        <v>#N/A</v>
      </c>
    </row>
    <row r="52" spans="1:27" x14ac:dyDescent="0.25">
      <c r="A52" s="30" t="s">
        <v>134</v>
      </c>
      <c r="B52" s="30" t="s">
        <v>133</v>
      </c>
      <c r="C52" s="30" t="s">
        <v>17</v>
      </c>
      <c r="D52" s="30" t="str" cm="1">
        <f t="array" ref="D52">UPPER(_xlfn.XLOOKUP(Loockup_ObrasGerencia[[#This Row],[OBRA_PRONTO]],Tabla7[[#All],[Obra]],Tabla7[[#All],[Gerente de obra]],"Sin Obra Asignada",0))</f>
        <v>SANCHEZ OSCAR</v>
      </c>
      <c r="E52" s="31" t="str">
        <f>Loockup_ObrasGerencia[[#This Row],[OBRA_PRONTO]]&amp;Loockup_ObrasGerencia[[#This Row],[GERENCIA]]</f>
        <v>00000051SANCHEZ OSCAR</v>
      </c>
      <c r="H52" t="s">
        <v>133</v>
      </c>
      <c r="I52" t="s">
        <v>134</v>
      </c>
      <c r="J52" t="s">
        <v>52</v>
      </c>
      <c r="K52" t="str">
        <f>Tabla7[[#This Row],[Obra]]&amp;Tabla7[[#This Row],[Gerente de obra]]</f>
        <v>00000051Sanchez Oscar</v>
      </c>
      <c r="L52">
        <f>MATCH(Tabla7[[#This Row],[AUX]],Loockup_ObrasGerencia[[#All],[aux]],0)</f>
        <v>52</v>
      </c>
      <c r="O52" t="str">
        <f>UPPER(GERENCIAS[[#This Row],[Gerente de obra]])</f>
        <v>ORTIZ JUAN MANUEL</v>
      </c>
      <c r="R52" t="s">
        <v>144</v>
      </c>
      <c r="S52" t="s">
        <v>145</v>
      </c>
      <c r="T52" t="s">
        <v>19</v>
      </c>
      <c r="W52" s="8" t="s">
        <v>134</v>
      </c>
      <c r="X52" s="8" t="s">
        <v>133</v>
      </c>
      <c r="Y52" s="8" t="s">
        <v>17</v>
      </c>
      <c r="Z52" t="str">
        <f t="shared" si="0"/>
        <v>00000051SI</v>
      </c>
      <c r="AA52" s="11" t="e">
        <f>MATCH(Tabla9[[#This Row],[AUX]],Loockup_ObrasGerencia[[#All],[aux]],0)</f>
        <v>#N/A</v>
      </c>
    </row>
    <row r="53" spans="1:27" x14ac:dyDescent="0.25">
      <c r="A53" s="30" t="s">
        <v>146</v>
      </c>
      <c r="B53" s="30" t="s">
        <v>147</v>
      </c>
      <c r="C53" s="30" t="s">
        <v>17</v>
      </c>
      <c r="D53" s="30" t="str" cm="1">
        <f t="array" ref="D53">UPPER(_xlfn.XLOOKUP(Loockup_ObrasGerencia[[#This Row],[OBRA_PRONTO]],Tabla7[[#All],[Obra]],Tabla7[[#All],[Gerente de obra]],"Sin Obra Asignada",0))</f>
        <v>SIN ASIGNACION</v>
      </c>
      <c r="E53" s="31" t="str">
        <f>Loockup_ObrasGerencia[[#This Row],[OBRA_PRONTO]]&amp;Loockup_ObrasGerencia[[#This Row],[GERENCIA]]</f>
        <v>00000052SIN ASIGNACION</v>
      </c>
      <c r="H53" t="s">
        <v>147</v>
      </c>
      <c r="I53" t="s">
        <v>146</v>
      </c>
      <c r="J53" t="s">
        <v>1401</v>
      </c>
      <c r="K53" t="str">
        <f>Tabla7[[#This Row],[Obra]]&amp;Tabla7[[#This Row],[Gerente de obra]]</f>
        <v>00000052SIN ASIGNACION</v>
      </c>
      <c r="L53">
        <f>MATCH(Tabla7[[#This Row],[AUX]],Loockup_ObrasGerencia[[#All],[aux]],0)</f>
        <v>53</v>
      </c>
      <c r="O53" t="str">
        <f>UPPER(GERENCIAS[[#This Row],[Gerente de obra]])</f>
        <v>SANCHEZ OSCAR</v>
      </c>
      <c r="R53" t="s">
        <v>148</v>
      </c>
      <c r="S53" t="s">
        <v>149</v>
      </c>
      <c r="T53" t="s">
        <v>53</v>
      </c>
      <c r="W53" s="8" t="s">
        <v>146</v>
      </c>
      <c r="X53" s="8" t="s">
        <v>147</v>
      </c>
      <c r="Y53" s="8" t="s">
        <v>17</v>
      </c>
      <c r="Z53" t="str">
        <f t="shared" si="0"/>
        <v>00000052SI</v>
      </c>
      <c r="AA53" s="11" t="e">
        <f>MATCH(Tabla9[[#This Row],[AUX]],Loockup_ObrasGerencia[[#All],[aux]],0)</f>
        <v>#N/A</v>
      </c>
    </row>
    <row r="54" spans="1:27" x14ac:dyDescent="0.25">
      <c r="A54" s="30" t="s">
        <v>150</v>
      </c>
      <c r="B54" s="30" t="s">
        <v>151</v>
      </c>
      <c r="C54" s="30" t="s">
        <v>64</v>
      </c>
      <c r="D54" s="30" t="str" cm="1">
        <f t="array" ref="D54">UPPER(_xlfn.XLOOKUP(Loockup_ObrasGerencia[[#This Row],[OBRA_PRONTO]],Tabla7[[#All],[Obra]],Tabla7[[#All],[Gerente de obra]],"Sin Obra Asignada",0))</f>
        <v>SIN ASIGNACION</v>
      </c>
      <c r="E54" s="31" t="str">
        <f>Loockup_ObrasGerencia[[#This Row],[OBRA_PRONTO]]&amp;Loockup_ObrasGerencia[[#This Row],[GERENCIA]]</f>
        <v>00000053SIN ASIGNACION</v>
      </c>
      <c r="H54" t="s">
        <v>151</v>
      </c>
      <c r="I54" t="s">
        <v>150</v>
      </c>
      <c r="J54" t="s">
        <v>1401</v>
      </c>
      <c r="K54" t="str">
        <f>Tabla7[[#This Row],[Obra]]&amp;Tabla7[[#This Row],[Gerente de obra]]</f>
        <v>00000053SIN ASIGNACION</v>
      </c>
      <c r="L54">
        <f>MATCH(Tabla7[[#This Row],[AUX]],Loockup_ObrasGerencia[[#All],[aux]],0)</f>
        <v>54</v>
      </c>
      <c r="O54" t="str">
        <f>UPPER(GERENCIAS[[#This Row],[Gerente de obra]])</f>
        <v>BARONE ALBERTO</v>
      </c>
      <c r="R54" t="s">
        <v>152</v>
      </c>
      <c r="S54" t="s">
        <v>153</v>
      </c>
      <c r="T54" t="s">
        <v>132</v>
      </c>
      <c r="W54" s="8" t="s">
        <v>150</v>
      </c>
      <c r="X54" s="8" t="s">
        <v>151</v>
      </c>
      <c r="Y54" s="8" t="s">
        <v>64</v>
      </c>
      <c r="Z54" t="str">
        <f t="shared" si="0"/>
        <v>00000053ADMINISTRACION</v>
      </c>
      <c r="AA54" s="11" t="e">
        <f>MATCH(Tabla9[[#This Row],[AUX]],Loockup_ObrasGerencia[[#All],[aux]],0)</f>
        <v>#N/A</v>
      </c>
    </row>
    <row r="55" spans="1:27" x14ac:dyDescent="0.25">
      <c r="A55" s="30" t="s">
        <v>138</v>
      </c>
      <c r="B55" s="30" t="s">
        <v>137</v>
      </c>
      <c r="C55" s="30" t="s">
        <v>17</v>
      </c>
      <c r="D55" s="30" t="str" cm="1">
        <f t="array" ref="D55">UPPER(_xlfn.XLOOKUP(Loockup_ObrasGerencia[[#This Row],[OBRA_PRONTO]],Tabla7[[#All],[Obra]],Tabla7[[#All],[Gerente de obra]],"Sin Obra Asignada",0))</f>
        <v>ORTIZ JUAN MANUEL</v>
      </c>
      <c r="E55" s="31" t="str">
        <f>Loockup_ObrasGerencia[[#This Row],[OBRA_PRONTO]]&amp;Loockup_ObrasGerencia[[#This Row],[GERENCIA]]</f>
        <v>00000054ORTIZ JUAN MANUEL</v>
      </c>
      <c r="H55" t="s">
        <v>137</v>
      </c>
      <c r="I55" t="s">
        <v>138</v>
      </c>
      <c r="J55" t="s">
        <v>18</v>
      </c>
      <c r="K55" t="str">
        <f>Tabla7[[#This Row],[Obra]]&amp;Tabla7[[#This Row],[Gerente de obra]]</f>
        <v>00000054Ortiz Juan Manuel</v>
      </c>
      <c r="L55">
        <f>MATCH(Tabla7[[#This Row],[AUX]],Loockup_ObrasGerencia[[#All],[aux]],0)</f>
        <v>55</v>
      </c>
      <c r="O55" t="str">
        <f>UPPER(GERENCIAS[[#This Row],[Gerente de obra]])</f>
        <v>FRANCISCO DI LISIO</v>
      </c>
      <c r="R55" t="s">
        <v>154</v>
      </c>
      <c r="S55" t="s">
        <v>155</v>
      </c>
      <c r="T55" t="s">
        <v>78</v>
      </c>
      <c r="W55" s="8" t="s">
        <v>138</v>
      </c>
      <c r="X55" s="8" t="s">
        <v>137</v>
      </c>
      <c r="Y55" s="8" t="s">
        <v>17</v>
      </c>
      <c r="Z55" t="str">
        <f t="shared" si="0"/>
        <v>00000054SI</v>
      </c>
      <c r="AA55" s="11" t="e">
        <f>MATCH(Tabla9[[#This Row],[AUX]],Loockup_ObrasGerencia[[#All],[aux]],0)</f>
        <v>#N/A</v>
      </c>
    </row>
    <row r="56" spans="1:27" x14ac:dyDescent="0.25">
      <c r="A56" s="30" t="s">
        <v>140</v>
      </c>
      <c r="B56" s="30" t="s">
        <v>139</v>
      </c>
      <c r="C56" s="30" t="s">
        <v>17</v>
      </c>
      <c r="D56" s="30" t="str" cm="1">
        <f t="array" ref="D56">UPPER(_xlfn.XLOOKUP(Loockup_ObrasGerencia[[#This Row],[OBRA_PRONTO]],Tabla7[[#All],[Obra]],Tabla7[[#All],[Gerente de obra]],"Sin Obra Asignada",0))</f>
        <v>ORTIZ JUAN MANUEL</v>
      </c>
      <c r="E56" s="31" t="str">
        <f>Loockup_ObrasGerencia[[#This Row],[OBRA_PRONTO]]&amp;Loockup_ObrasGerencia[[#This Row],[GERENCIA]]</f>
        <v>00000055ORTIZ JUAN MANUEL</v>
      </c>
      <c r="H56" t="s">
        <v>139</v>
      </c>
      <c r="I56" t="s">
        <v>140</v>
      </c>
      <c r="J56" t="s">
        <v>18</v>
      </c>
      <c r="K56" t="str">
        <f>Tabla7[[#This Row],[Obra]]&amp;Tabla7[[#This Row],[Gerente de obra]]</f>
        <v>00000055Ortiz Juan Manuel</v>
      </c>
      <c r="L56">
        <f>MATCH(Tabla7[[#This Row],[AUX]],Loockup_ObrasGerencia[[#All],[aux]],0)</f>
        <v>56</v>
      </c>
      <c r="O56" t="str">
        <f>UPPER(GERENCIAS[[#This Row],[Gerente de obra]])</f>
        <v>FRANCISCO DI LISIO</v>
      </c>
      <c r="R56" t="s">
        <v>156</v>
      </c>
      <c r="S56" t="s">
        <v>157</v>
      </c>
      <c r="T56" t="s">
        <v>78</v>
      </c>
      <c r="W56" s="8" t="s">
        <v>140</v>
      </c>
      <c r="X56" s="8" t="s">
        <v>139</v>
      </c>
      <c r="Y56" s="8" t="s">
        <v>17</v>
      </c>
      <c r="Z56" t="str">
        <f t="shared" si="0"/>
        <v>00000055SI</v>
      </c>
      <c r="AA56" s="11" t="e">
        <f>MATCH(Tabla9[[#This Row],[AUX]],Loockup_ObrasGerencia[[#All],[aux]],0)</f>
        <v>#N/A</v>
      </c>
    </row>
    <row r="57" spans="1:27" x14ac:dyDescent="0.25">
      <c r="A57" s="30" t="s">
        <v>143</v>
      </c>
      <c r="B57" s="30" t="s">
        <v>142</v>
      </c>
      <c r="C57" s="30" t="s">
        <v>17</v>
      </c>
      <c r="D57" s="30" t="str" cm="1">
        <f t="array" ref="D57">UPPER(_xlfn.XLOOKUP(Loockup_ObrasGerencia[[#This Row],[OBRA_PRONTO]],Tabla7[[#All],[Obra]],Tabla7[[#All],[Gerente de obra]],"Sin Obra Asignada",0))</f>
        <v>SANCHEZ OSCAR</v>
      </c>
      <c r="E57" s="31" t="str">
        <f>Loockup_ObrasGerencia[[#This Row],[OBRA_PRONTO]]&amp;Loockup_ObrasGerencia[[#This Row],[GERENCIA]]</f>
        <v>00000056SANCHEZ OSCAR</v>
      </c>
      <c r="H57" t="s">
        <v>142</v>
      </c>
      <c r="I57" t="s">
        <v>143</v>
      </c>
      <c r="J57" t="s">
        <v>52</v>
      </c>
      <c r="K57" t="str">
        <f>Tabla7[[#This Row],[Obra]]&amp;Tabla7[[#This Row],[Gerente de obra]]</f>
        <v>00000056Sanchez Oscar</v>
      </c>
      <c r="L57">
        <f>MATCH(Tabla7[[#This Row],[AUX]],Loockup_ObrasGerencia[[#All],[aux]],0)</f>
        <v>57</v>
      </c>
      <c r="O57" t="str">
        <f>UPPER(GERENCIAS[[#This Row],[Gerente de obra]])</f>
        <v>SANCHEZ OSCAR</v>
      </c>
      <c r="R57" t="s">
        <v>158</v>
      </c>
      <c r="S57" t="s">
        <v>159</v>
      </c>
      <c r="T57" t="s">
        <v>53</v>
      </c>
      <c r="W57" s="8" t="s">
        <v>143</v>
      </c>
      <c r="X57" s="8" t="s">
        <v>142</v>
      </c>
      <c r="Y57" s="8" t="s">
        <v>17</v>
      </c>
      <c r="Z57" t="str">
        <f t="shared" si="0"/>
        <v>00000056SI</v>
      </c>
      <c r="AA57" s="11" t="e">
        <f>MATCH(Tabla9[[#This Row],[AUX]],Loockup_ObrasGerencia[[#All],[aux]],0)</f>
        <v>#N/A</v>
      </c>
    </row>
    <row r="58" spans="1:27" x14ac:dyDescent="0.25">
      <c r="A58" s="30" t="s">
        <v>145</v>
      </c>
      <c r="B58" s="30" t="s">
        <v>144</v>
      </c>
      <c r="C58" s="30" t="s">
        <v>17</v>
      </c>
      <c r="D58" s="30" t="str" cm="1">
        <f t="array" ref="D58">UPPER(_xlfn.XLOOKUP(Loockup_ObrasGerencia[[#This Row],[OBRA_PRONTO]],Tabla7[[#All],[Obra]],Tabla7[[#All],[Gerente de obra]],"Sin Obra Asignada",0))</f>
        <v>ORTIZ JUAN MANUEL</v>
      </c>
      <c r="E58" s="31" t="str">
        <f>Loockup_ObrasGerencia[[#This Row],[OBRA_PRONTO]]&amp;Loockup_ObrasGerencia[[#This Row],[GERENCIA]]</f>
        <v>00000057ORTIZ JUAN MANUEL</v>
      </c>
      <c r="H58" t="s">
        <v>144</v>
      </c>
      <c r="I58" t="s">
        <v>145</v>
      </c>
      <c r="J58" t="s">
        <v>18</v>
      </c>
      <c r="K58" t="str">
        <f>Tabla7[[#This Row],[Obra]]&amp;Tabla7[[#This Row],[Gerente de obra]]</f>
        <v>00000057Ortiz Juan Manuel</v>
      </c>
      <c r="L58">
        <f>MATCH(Tabla7[[#This Row],[AUX]],Loockup_ObrasGerencia[[#All],[aux]],0)</f>
        <v>58</v>
      </c>
      <c r="O58" t="str">
        <f>UPPER(GERENCIAS[[#This Row],[Gerente de obra]])</f>
        <v>TRUJILLO</v>
      </c>
      <c r="R58" t="s">
        <v>160</v>
      </c>
      <c r="S58" t="s">
        <v>161</v>
      </c>
      <c r="T58" t="s">
        <v>25</v>
      </c>
      <c r="W58" s="8" t="s">
        <v>145</v>
      </c>
      <c r="X58" s="8" t="s">
        <v>144</v>
      </c>
      <c r="Y58" s="8" t="s">
        <v>17</v>
      </c>
      <c r="Z58" t="str">
        <f t="shared" si="0"/>
        <v>00000057SI</v>
      </c>
      <c r="AA58" s="11" t="e">
        <f>MATCH(Tabla9[[#This Row],[AUX]],Loockup_ObrasGerencia[[#All],[aux]],0)</f>
        <v>#N/A</v>
      </c>
    </row>
    <row r="59" spans="1:27" x14ac:dyDescent="0.25">
      <c r="A59" s="30" t="s">
        <v>149</v>
      </c>
      <c r="B59" s="30" t="s">
        <v>148</v>
      </c>
      <c r="C59" s="30" t="s">
        <v>17</v>
      </c>
      <c r="D59" s="30" t="str" cm="1">
        <f t="array" ref="D59">UPPER(_xlfn.XLOOKUP(Loockup_ObrasGerencia[[#This Row],[OBRA_PRONTO]],Tabla7[[#All],[Obra]],Tabla7[[#All],[Gerente de obra]],"Sin Obra Asignada",0))</f>
        <v>SANCHEZ OSCAR</v>
      </c>
      <c r="E59" s="31" t="str">
        <f>Loockup_ObrasGerencia[[#This Row],[OBRA_PRONTO]]&amp;Loockup_ObrasGerencia[[#This Row],[GERENCIA]]</f>
        <v>00000058SANCHEZ OSCAR</v>
      </c>
      <c r="H59" t="s">
        <v>148</v>
      </c>
      <c r="I59" t="s">
        <v>149</v>
      </c>
      <c r="J59" t="s">
        <v>52</v>
      </c>
      <c r="K59" t="str">
        <f>Tabla7[[#This Row],[Obra]]&amp;Tabla7[[#This Row],[Gerente de obra]]</f>
        <v>00000058Sanchez Oscar</v>
      </c>
      <c r="L59">
        <f>MATCH(Tabla7[[#This Row],[AUX]],Loockup_ObrasGerencia[[#All],[aux]],0)</f>
        <v>59</v>
      </c>
      <c r="O59" t="str">
        <f>UPPER(GERENCIAS[[#This Row],[Gerente de obra]])</f>
        <v>SANCHEZ OSCAR</v>
      </c>
      <c r="R59" t="s">
        <v>162</v>
      </c>
      <c r="S59" t="s">
        <v>163</v>
      </c>
      <c r="T59" t="s">
        <v>53</v>
      </c>
      <c r="W59" s="8" t="s">
        <v>149</v>
      </c>
      <c r="X59" s="8" t="s">
        <v>148</v>
      </c>
      <c r="Y59" s="8" t="s">
        <v>17</v>
      </c>
      <c r="Z59" t="str">
        <f t="shared" si="0"/>
        <v>00000058SI</v>
      </c>
      <c r="AA59" s="11" t="e">
        <f>MATCH(Tabla9[[#This Row],[AUX]],Loockup_ObrasGerencia[[#All],[aux]],0)</f>
        <v>#N/A</v>
      </c>
    </row>
    <row r="60" spans="1:27" x14ac:dyDescent="0.25">
      <c r="A60" s="30" t="s">
        <v>164</v>
      </c>
      <c r="B60" s="30" t="s">
        <v>165</v>
      </c>
      <c r="C60" s="30" t="s">
        <v>64</v>
      </c>
      <c r="D60" s="30" t="str" cm="1">
        <f t="array" ref="D60">UPPER(_xlfn.XLOOKUP(Loockup_ObrasGerencia[[#This Row],[OBRA_PRONTO]],Tabla7[[#All],[Obra]],Tabla7[[#All],[Gerente de obra]],"Sin Obra Asignada",0))</f>
        <v>SIN OBRA ASIGNADA</v>
      </c>
      <c r="E60" s="31" t="str">
        <f>Loockup_ObrasGerencia[[#This Row],[OBRA_PRONTO]]&amp;Loockup_ObrasGerencia[[#This Row],[GERENCIA]]</f>
        <v>00000059SIN OBRA ASIGNADA</v>
      </c>
      <c r="H60" t="s">
        <v>152</v>
      </c>
      <c r="I60" t="s">
        <v>153</v>
      </c>
      <c r="J60" t="s">
        <v>141</v>
      </c>
      <c r="K60" t="str">
        <f>Tabla7[[#This Row],[Obra]]&amp;Tabla7[[#This Row],[Gerente de obra]]</f>
        <v>00000060Barone Alberto</v>
      </c>
      <c r="L60">
        <f>MATCH(Tabla7[[#This Row],[AUX]],Loockup_ObrasGerencia[[#All],[aux]],0)</f>
        <v>61</v>
      </c>
      <c r="O60" t="str">
        <f>UPPER(GERENCIAS[[#This Row],[Gerente de obra]])</f>
        <v>ORTIZ JUAN MANUEL</v>
      </c>
      <c r="R60" t="s">
        <v>166</v>
      </c>
      <c r="S60" t="s">
        <v>167</v>
      </c>
      <c r="T60" t="s">
        <v>19</v>
      </c>
      <c r="W60" s="8" t="s">
        <v>164</v>
      </c>
      <c r="X60" s="8" t="s">
        <v>165</v>
      </c>
      <c r="Y60" s="8" t="s">
        <v>64</v>
      </c>
      <c r="Z60" t="str">
        <f t="shared" si="0"/>
        <v>00000059ADMINISTRACION</v>
      </c>
      <c r="AA60" s="11" t="e">
        <f>MATCH(Tabla9[[#This Row],[AUX]],Loockup_ObrasGerencia[[#All],[aux]],0)</f>
        <v>#N/A</v>
      </c>
    </row>
    <row r="61" spans="1:27" x14ac:dyDescent="0.25">
      <c r="A61" s="30" t="s">
        <v>153</v>
      </c>
      <c r="B61" s="30" t="s">
        <v>152</v>
      </c>
      <c r="C61" s="30" t="s">
        <v>17</v>
      </c>
      <c r="D61" s="30" t="str" cm="1">
        <f t="array" ref="D61">UPPER(_xlfn.XLOOKUP(Loockup_ObrasGerencia[[#This Row],[OBRA_PRONTO]],Tabla7[[#All],[Obra]],Tabla7[[#All],[Gerente de obra]],"Sin Obra Asignada",0))</f>
        <v>BARONE ALBERTO</v>
      </c>
      <c r="E61" s="31" t="str">
        <f>Loockup_ObrasGerencia[[#This Row],[OBRA_PRONTO]]&amp;Loockup_ObrasGerencia[[#This Row],[GERENCIA]]</f>
        <v>00000060BARONE ALBERTO</v>
      </c>
      <c r="H61" t="s">
        <v>154</v>
      </c>
      <c r="I61" t="s">
        <v>155</v>
      </c>
      <c r="J61" t="s">
        <v>79</v>
      </c>
      <c r="K61" t="str">
        <f>Tabla7[[#This Row],[Obra]]&amp;Tabla7[[#This Row],[Gerente de obra]]</f>
        <v>00000061Francisco Di Lisio</v>
      </c>
      <c r="L61">
        <f>MATCH(Tabla7[[#This Row],[AUX]],Loockup_ObrasGerencia[[#All],[aux]],0)</f>
        <v>62</v>
      </c>
      <c r="O61" t="str">
        <f>UPPER(GERENCIAS[[#This Row],[Gerente de obra]])</f>
        <v>BARONE ALBERTO</v>
      </c>
      <c r="R61" t="s">
        <v>168</v>
      </c>
      <c r="S61" t="s">
        <v>169</v>
      </c>
      <c r="T61" t="s">
        <v>132</v>
      </c>
      <c r="W61" s="8" t="s">
        <v>153</v>
      </c>
      <c r="X61" s="8" t="s">
        <v>152</v>
      </c>
      <c r="Y61" s="8" t="s">
        <v>17</v>
      </c>
      <c r="Z61" t="str">
        <f t="shared" si="0"/>
        <v>00000060SI</v>
      </c>
      <c r="AA61" s="11" t="e">
        <f>MATCH(Tabla9[[#This Row],[AUX]],Loockup_ObrasGerencia[[#All],[aux]],0)</f>
        <v>#N/A</v>
      </c>
    </row>
    <row r="62" spans="1:27" x14ac:dyDescent="0.25">
      <c r="A62" s="30" t="s">
        <v>155</v>
      </c>
      <c r="B62" s="30" t="s">
        <v>154</v>
      </c>
      <c r="C62" s="30" t="s">
        <v>17</v>
      </c>
      <c r="D62" s="30" t="str" cm="1">
        <f t="array" ref="D62">UPPER(_xlfn.XLOOKUP(Loockup_ObrasGerencia[[#This Row],[OBRA_PRONTO]],Tabla7[[#All],[Obra]],Tabla7[[#All],[Gerente de obra]],"Sin Obra Asignada",0))</f>
        <v>FRANCISCO DI LISIO</v>
      </c>
      <c r="E62" s="31" t="str">
        <f>Loockup_ObrasGerencia[[#This Row],[OBRA_PRONTO]]&amp;Loockup_ObrasGerencia[[#This Row],[GERENCIA]]</f>
        <v>00000061FRANCISCO DI LISIO</v>
      </c>
      <c r="H62" t="s">
        <v>170</v>
      </c>
      <c r="I62" t="s">
        <v>171</v>
      </c>
      <c r="J62" t="s">
        <v>1401</v>
      </c>
      <c r="K62" t="str">
        <f>Tabla7[[#This Row],[Obra]]&amp;Tabla7[[#This Row],[Gerente de obra]]</f>
        <v>00000062SIN ASIGNACION</v>
      </c>
      <c r="L62">
        <f>MATCH(Tabla7[[#This Row],[AUX]],Loockup_ObrasGerencia[[#All],[aux]],0)</f>
        <v>63</v>
      </c>
      <c r="O62" t="str">
        <f>UPPER(GERENCIAS[[#This Row],[Gerente de obra]])</f>
        <v>FRANCISCO DI LISIO</v>
      </c>
      <c r="R62" t="s">
        <v>172</v>
      </c>
      <c r="S62" t="s">
        <v>173</v>
      </c>
      <c r="T62" t="s">
        <v>78</v>
      </c>
      <c r="W62" s="8" t="s">
        <v>155</v>
      </c>
      <c r="X62" s="8" t="s">
        <v>154</v>
      </c>
      <c r="Y62" s="8" t="s">
        <v>17</v>
      </c>
      <c r="Z62" t="str">
        <f t="shared" si="0"/>
        <v>00000061SI</v>
      </c>
      <c r="AA62" s="11" t="e">
        <f>MATCH(Tabla9[[#This Row],[AUX]],Loockup_ObrasGerencia[[#All],[aux]],0)</f>
        <v>#N/A</v>
      </c>
    </row>
    <row r="63" spans="1:27" x14ac:dyDescent="0.25">
      <c r="A63" s="30" t="s">
        <v>171</v>
      </c>
      <c r="B63" s="30" t="s">
        <v>170</v>
      </c>
      <c r="C63" s="30" t="s">
        <v>17</v>
      </c>
      <c r="D63" s="30" t="str" cm="1">
        <f t="array" ref="D63">UPPER(_xlfn.XLOOKUP(Loockup_ObrasGerencia[[#This Row],[OBRA_PRONTO]],Tabla7[[#All],[Obra]],Tabla7[[#All],[Gerente de obra]],"Sin Obra Asignada",0))</f>
        <v>SIN ASIGNACION</v>
      </c>
      <c r="E63" s="31" t="str">
        <f>Loockup_ObrasGerencia[[#This Row],[OBRA_PRONTO]]&amp;Loockup_ObrasGerencia[[#This Row],[GERENCIA]]</f>
        <v>00000062SIN ASIGNACION</v>
      </c>
      <c r="H63" t="s">
        <v>156</v>
      </c>
      <c r="I63" t="s">
        <v>157</v>
      </c>
      <c r="J63" t="s">
        <v>79</v>
      </c>
      <c r="K63" t="str">
        <f>Tabla7[[#This Row],[Obra]]&amp;Tabla7[[#This Row],[Gerente de obra]]</f>
        <v>00000063Francisco Di Lisio</v>
      </c>
      <c r="L63">
        <f>MATCH(Tabla7[[#This Row],[AUX]],Loockup_ObrasGerencia[[#All],[aux]],0)</f>
        <v>64</v>
      </c>
      <c r="O63" t="str">
        <f>UPPER(GERENCIAS[[#This Row],[Gerente de obra]])</f>
        <v>FRANCISCO DI LISIO</v>
      </c>
      <c r="R63" t="s">
        <v>174</v>
      </c>
      <c r="S63" t="s">
        <v>175</v>
      </c>
      <c r="T63" t="s">
        <v>78</v>
      </c>
      <c r="W63" s="8" t="s">
        <v>171</v>
      </c>
      <c r="X63" s="8" t="s">
        <v>170</v>
      </c>
      <c r="Y63" s="8" t="s">
        <v>17</v>
      </c>
      <c r="Z63" t="str">
        <f t="shared" si="0"/>
        <v>00000062SI</v>
      </c>
      <c r="AA63" s="11" t="e">
        <f>MATCH(Tabla9[[#This Row],[AUX]],Loockup_ObrasGerencia[[#All],[aux]],0)</f>
        <v>#N/A</v>
      </c>
    </row>
    <row r="64" spans="1:27" x14ac:dyDescent="0.25">
      <c r="A64" s="30" t="s">
        <v>157</v>
      </c>
      <c r="B64" s="30" t="s">
        <v>156</v>
      </c>
      <c r="C64" s="30" t="s">
        <v>17</v>
      </c>
      <c r="D64" s="30" t="str" cm="1">
        <f t="array" ref="D64">UPPER(_xlfn.XLOOKUP(Loockup_ObrasGerencia[[#This Row],[OBRA_PRONTO]],Tabla7[[#All],[Obra]],Tabla7[[#All],[Gerente de obra]],"Sin Obra Asignada",0))</f>
        <v>FRANCISCO DI LISIO</v>
      </c>
      <c r="E64" s="31" t="str">
        <f>Loockup_ObrasGerencia[[#This Row],[OBRA_PRONTO]]&amp;Loockup_ObrasGerencia[[#This Row],[GERENCIA]]</f>
        <v>00000063FRANCISCO DI LISIO</v>
      </c>
      <c r="H64" t="s">
        <v>158</v>
      </c>
      <c r="I64" t="s">
        <v>159</v>
      </c>
      <c r="J64" t="s">
        <v>52</v>
      </c>
      <c r="K64" t="str">
        <f>Tabla7[[#This Row],[Obra]]&amp;Tabla7[[#This Row],[Gerente de obra]]</f>
        <v>00000064Sanchez Oscar</v>
      </c>
      <c r="L64">
        <f>MATCH(Tabla7[[#This Row],[AUX]],Loockup_ObrasGerencia[[#All],[aux]],0)</f>
        <v>65</v>
      </c>
      <c r="O64" t="str">
        <f>UPPER(GERENCIAS[[#This Row],[Gerente de obra]])</f>
        <v>DIEGO AGUIRRE</v>
      </c>
      <c r="R64" t="s">
        <v>176</v>
      </c>
      <c r="S64" t="s">
        <v>177</v>
      </c>
      <c r="T64" t="s">
        <v>178</v>
      </c>
      <c r="W64" s="8" t="s">
        <v>157</v>
      </c>
      <c r="X64" s="8" t="s">
        <v>156</v>
      </c>
      <c r="Y64" s="8" t="s">
        <v>17</v>
      </c>
      <c r="Z64" t="str">
        <f t="shared" si="0"/>
        <v>00000063SI</v>
      </c>
      <c r="AA64" s="11" t="e">
        <f>MATCH(Tabla9[[#This Row],[AUX]],Loockup_ObrasGerencia[[#All],[aux]],0)</f>
        <v>#N/A</v>
      </c>
    </row>
    <row r="65" spans="1:27" x14ac:dyDescent="0.25">
      <c r="A65" s="30" t="s">
        <v>159</v>
      </c>
      <c r="B65" s="30" t="s">
        <v>158</v>
      </c>
      <c r="C65" s="30" t="s">
        <v>17</v>
      </c>
      <c r="D65" s="30" t="str" cm="1">
        <f t="array" ref="D65">UPPER(_xlfn.XLOOKUP(Loockup_ObrasGerencia[[#This Row],[OBRA_PRONTO]],Tabla7[[#All],[Obra]],Tabla7[[#All],[Gerente de obra]],"Sin Obra Asignada",0))</f>
        <v>SANCHEZ OSCAR</v>
      </c>
      <c r="E65" s="31" t="str">
        <f>Loockup_ObrasGerencia[[#This Row],[OBRA_PRONTO]]&amp;Loockup_ObrasGerencia[[#This Row],[GERENCIA]]</f>
        <v>00000064SANCHEZ OSCAR</v>
      </c>
      <c r="H65" t="s">
        <v>160</v>
      </c>
      <c r="I65" t="s">
        <v>161</v>
      </c>
      <c r="J65" t="s">
        <v>24</v>
      </c>
      <c r="K65" t="str">
        <f>Tabla7[[#This Row],[Obra]]&amp;Tabla7[[#This Row],[Gerente de obra]]</f>
        <v>00000065Trujillo</v>
      </c>
      <c r="L65">
        <f>MATCH(Tabla7[[#This Row],[AUX]],Loockup_ObrasGerencia[[#All],[aux]],0)</f>
        <v>66</v>
      </c>
      <c r="O65" t="str">
        <f>UPPER(GERENCIAS[[#This Row],[Gerente de obra]])</f>
        <v>ORTIZ JUAN MANUEL</v>
      </c>
      <c r="R65" t="s">
        <v>179</v>
      </c>
      <c r="S65" t="s">
        <v>180</v>
      </c>
      <c r="T65" t="s">
        <v>19</v>
      </c>
      <c r="W65" s="8" t="s">
        <v>159</v>
      </c>
      <c r="X65" s="8" t="s">
        <v>158</v>
      </c>
      <c r="Y65" s="8" t="s">
        <v>17</v>
      </c>
      <c r="Z65" t="str">
        <f t="shared" si="0"/>
        <v>00000064SI</v>
      </c>
      <c r="AA65" s="11" t="e">
        <f>MATCH(Tabla9[[#This Row],[AUX]],Loockup_ObrasGerencia[[#All],[aux]],0)</f>
        <v>#N/A</v>
      </c>
    </row>
    <row r="66" spans="1:27" x14ac:dyDescent="0.25">
      <c r="A66" s="30" t="s">
        <v>161</v>
      </c>
      <c r="B66" s="30" t="s">
        <v>160</v>
      </c>
      <c r="C66" s="30" t="s">
        <v>17</v>
      </c>
      <c r="D66" s="30" t="str" cm="1">
        <f t="array" ref="D66">UPPER(_xlfn.XLOOKUP(Loockup_ObrasGerencia[[#This Row],[OBRA_PRONTO]],Tabla7[[#All],[Obra]],Tabla7[[#All],[Gerente de obra]],"Sin Obra Asignada",0))</f>
        <v>TRUJILLO</v>
      </c>
      <c r="E66" s="31" t="str">
        <f>Loockup_ObrasGerencia[[#This Row],[OBRA_PRONTO]]&amp;Loockup_ObrasGerencia[[#This Row],[GERENCIA]]</f>
        <v>00000065TRUJILLO</v>
      </c>
      <c r="H66" t="s">
        <v>162</v>
      </c>
      <c r="I66" t="s">
        <v>163</v>
      </c>
      <c r="J66" t="s">
        <v>52</v>
      </c>
      <c r="K66" t="str">
        <f>Tabla7[[#This Row],[Obra]]&amp;Tabla7[[#This Row],[Gerente de obra]]</f>
        <v>00000066Sanchez Oscar</v>
      </c>
      <c r="L66">
        <f>MATCH(Tabla7[[#This Row],[AUX]],Loockup_ObrasGerencia[[#All],[aux]],0)</f>
        <v>67</v>
      </c>
      <c r="O66" t="str">
        <f>UPPER(GERENCIAS[[#This Row],[Gerente de obra]])</f>
        <v>FRANCISCO DI LISIO</v>
      </c>
      <c r="R66" t="s">
        <v>181</v>
      </c>
      <c r="S66" t="s">
        <v>182</v>
      </c>
      <c r="T66" t="s">
        <v>78</v>
      </c>
      <c r="W66" s="8" t="s">
        <v>161</v>
      </c>
      <c r="X66" s="8" t="s">
        <v>160</v>
      </c>
      <c r="Y66" s="8" t="s">
        <v>17</v>
      </c>
      <c r="Z66" t="str">
        <f t="shared" ref="Z66:Z129" si="1">X66&amp;Y66</f>
        <v>00000065SI</v>
      </c>
      <c r="AA66" s="11" t="e">
        <f>MATCH(Tabla9[[#This Row],[AUX]],Loockup_ObrasGerencia[[#All],[aux]],0)</f>
        <v>#N/A</v>
      </c>
    </row>
    <row r="67" spans="1:27" x14ac:dyDescent="0.25">
      <c r="A67" s="30" t="s">
        <v>163</v>
      </c>
      <c r="B67" s="30" t="s">
        <v>162</v>
      </c>
      <c r="C67" s="30" t="s">
        <v>17</v>
      </c>
      <c r="D67" s="30" t="str" cm="1">
        <f t="array" ref="D67">UPPER(_xlfn.XLOOKUP(Loockup_ObrasGerencia[[#This Row],[OBRA_PRONTO]],Tabla7[[#All],[Obra]],Tabla7[[#All],[Gerente de obra]],"Sin Obra Asignada",0))</f>
        <v>SANCHEZ OSCAR</v>
      </c>
      <c r="E67" s="31" t="str">
        <f>Loockup_ObrasGerencia[[#This Row],[OBRA_PRONTO]]&amp;Loockup_ObrasGerencia[[#This Row],[GERENCIA]]</f>
        <v>00000066SANCHEZ OSCAR</v>
      </c>
      <c r="H67" t="s">
        <v>166</v>
      </c>
      <c r="I67" t="s">
        <v>167</v>
      </c>
      <c r="J67" t="s">
        <v>18</v>
      </c>
      <c r="K67" t="str">
        <f>Tabla7[[#This Row],[Obra]]&amp;Tabla7[[#This Row],[Gerente de obra]]</f>
        <v>00000067Ortiz Juan Manuel</v>
      </c>
      <c r="L67">
        <f>MATCH(Tabla7[[#This Row],[AUX]],Loockup_ObrasGerencia[[#All],[aux]],0)</f>
        <v>68</v>
      </c>
      <c r="O67" t="str">
        <f>UPPER(GERENCIAS[[#This Row],[Gerente de obra]])</f>
        <v>FRANCISCO DI LISIO</v>
      </c>
      <c r="R67" t="s">
        <v>183</v>
      </c>
      <c r="S67" t="s">
        <v>184</v>
      </c>
      <c r="T67" t="s">
        <v>78</v>
      </c>
      <c r="W67" s="8" t="s">
        <v>163</v>
      </c>
      <c r="X67" s="8" t="s">
        <v>162</v>
      </c>
      <c r="Y67" s="8" t="s">
        <v>17</v>
      </c>
      <c r="Z67" t="str">
        <f t="shared" si="1"/>
        <v>00000066SI</v>
      </c>
      <c r="AA67" s="11" t="e">
        <f>MATCH(Tabla9[[#This Row],[AUX]],Loockup_ObrasGerencia[[#All],[aux]],0)</f>
        <v>#N/A</v>
      </c>
    </row>
    <row r="68" spans="1:27" x14ac:dyDescent="0.25">
      <c r="A68" s="30" t="s">
        <v>167</v>
      </c>
      <c r="B68" s="30" t="s">
        <v>166</v>
      </c>
      <c r="C68" s="30" t="s">
        <v>17</v>
      </c>
      <c r="D68" s="30" t="str" cm="1">
        <f t="array" ref="D68">UPPER(_xlfn.XLOOKUP(Loockup_ObrasGerencia[[#This Row],[OBRA_PRONTO]],Tabla7[[#All],[Obra]],Tabla7[[#All],[Gerente de obra]],"Sin Obra Asignada",0))</f>
        <v>ORTIZ JUAN MANUEL</v>
      </c>
      <c r="E68" s="31" t="str">
        <f>Loockup_ObrasGerencia[[#This Row],[OBRA_PRONTO]]&amp;Loockup_ObrasGerencia[[#This Row],[GERENCIA]]</f>
        <v>00000067ORTIZ JUAN MANUEL</v>
      </c>
      <c r="H68" t="s">
        <v>168</v>
      </c>
      <c r="I68" t="s">
        <v>169</v>
      </c>
      <c r="J68" t="s">
        <v>141</v>
      </c>
      <c r="K68" t="str">
        <f>Tabla7[[#This Row],[Obra]]&amp;Tabla7[[#This Row],[Gerente de obra]]</f>
        <v>00000068Barone Alberto</v>
      </c>
      <c r="L68">
        <f>MATCH(Tabla7[[#This Row],[AUX]],Loockup_ObrasGerencia[[#All],[aux]],0)</f>
        <v>69</v>
      </c>
      <c r="O68" t="str">
        <f>UPPER(GERENCIAS[[#This Row],[Gerente de obra]])</f>
        <v>FRANCISCO DI LISIO</v>
      </c>
      <c r="R68" t="s">
        <v>185</v>
      </c>
      <c r="S68" t="s">
        <v>186</v>
      </c>
      <c r="T68" t="s">
        <v>78</v>
      </c>
      <c r="W68" s="8" t="s">
        <v>167</v>
      </c>
      <c r="X68" s="8" t="s">
        <v>166</v>
      </c>
      <c r="Y68" s="8" t="s">
        <v>17</v>
      </c>
      <c r="Z68" t="str">
        <f t="shared" si="1"/>
        <v>00000067SI</v>
      </c>
      <c r="AA68" s="11" t="e">
        <f>MATCH(Tabla9[[#This Row],[AUX]],Loockup_ObrasGerencia[[#All],[aux]],0)</f>
        <v>#N/A</v>
      </c>
    </row>
    <row r="69" spans="1:27" x14ac:dyDescent="0.25">
      <c r="A69" s="30" t="s">
        <v>169</v>
      </c>
      <c r="B69" s="30" t="s">
        <v>168</v>
      </c>
      <c r="C69" s="30" t="s">
        <v>17</v>
      </c>
      <c r="D69" s="30" t="str" cm="1">
        <f t="array" ref="D69">UPPER(_xlfn.XLOOKUP(Loockup_ObrasGerencia[[#This Row],[OBRA_PRONTO]],Tabla7[[#All],[Obra]],Tabla7[[#All],[Gerente de obra]],"Sin Obra Asignada",0))</f>
        <v>BARONE ALBERTO</v>
      </c>
      <c r="E69" s="31" t="str">
        <f>Loockup_ObrasGerencia[[#This Row],[OBRA_PRONTO]]&amp;Loockup_ObrasGerencia[[#This Row],[GERENCIA]]</f>
        <v>00000068BARONE ALBERTO</v>
      </c>
      <c r="H69" t="s">
        <v>172</v>
      </c>
      <c r="I69" t="s">
        <v>173</v>
      </c>
      <c r="J69" t="s">
        <v>79</v>
      </c>
      <c r="K69" t="str">
        <f>Tabla7[[#This Row],[Obra]]&amp;Tabla7[[#This Row],[Gerente de obra]]</f>
        <v>00000069Francisco Di Lisio</v>
      </c>
      <c r="L69">
        <f>MATCH(Tabla7[[#This Row],[AUX]],Loockup_ObrasGerencia[[#All],[aux]],0)</f>
        <v>70</v>
      </c>
      <c r="O69" t="str">
        <f>UPPER(GERENCIAS[[#This Row],[Gerente de obra]])</f>
        <v>ORTIZ JUAN MANUEL</v>
      </c>
      <c r="R69" t="s">
        <v>187</v>
      </c>
      <c r="S69" t="s">
        <v>188</v>
      </c>
      <c r="T69" t="s">
        <v>19</v>
      </c>
      <c r="W69" s="8" t="s">
        <v>169</v>
      </c>
      <c r="X69" s="8" t="s">
        <v>168</v>
      </c>
      <c r="Y69" s="8" t="s">
        <v>17</v>
      </c>
      <c r="Z69" t="str">
        <f t="shared" si="1"/>
        <v>00000068SI</v>
      </c>
      <c r="AA69" s="11" t="e">
        <f>MATCH(Tabla9[[#This Row],[AUX]],Loockup_ObrasGerencia[[#All],[aux]],0)</f>
        <v>#N/A</v>
      </c>
    </row>
    <row r="70" spans="1:27" x14ac:dyDescent="0.25">
      <c r="A70" s="30" t="s">
        <v>173</v>
      </c>
      <c r="B70" s="30" t="s">
        <v>172</v>
      </c>
      <c r="C70" s="30" t="s">
        <v>17</v>
      </c>
      <c r="D70" s="30" t="str" cm="1">
        <f t="array" ref="D70">UPPER(_xlfn.XLOOKUP(Loockup_ObrasGerencia[[#This Row],[OBRA_PRONTO]],Tabla7[[#All],[Obra]],Tabla7[[#All],[Gerente de obra]],"Sin Obra Asignada",0))</f>
        <v>FRANCISCO DI LISIO</v>
      </c>
      <c r="E70" s="31" t="str">
        <f>Loockup_ObrasGerencia[[#This Row],[OBRA_PRONTO]]&amp;Loockup_ObrasGerencia[[#This Row],[GERENCIA]]</f>
        <v>00000069FRANCISCO DI LISIO</v>
      </c>
      <c r="H70" t="s">
        <v>174</v>
      </c>
      <c r="I70" t="s">
        <v>175</v>
      </c>
      <c r="J70" t="s">
        <v>79</v>
      </c>
      <c r="K70" t="str">
        <f>Tabla7[[#This Row],[Obra]]&amp;Tabla7[[#This Row],[Gerente de obra]]</f>
        <v>00000070Francisco Di Lisio</v>
      </c>
      <c r="L70">
        <f>MATCH(Tabla7[[#This Row],[AUX]],Loockup_ObrasGerencia[[#All],[aux]],0)</f>
        <v>71</v>
      </c>
      <c r="O70" t="str">
        <f>UPPER(GERENCIAS[[#This Row],[Gerente de obra]])</f>
        <v>BARONE ALBERTO</v>
      </c>
      <c r="R70" t="s">
        <v>189</v>
      </c>
      <c r="S70" t="s">
        <v>190</v>
      </c>
      <c r="T70" t="s">
        <v>132</v>
      </c>
      <c r="W70" s="8" t="s">
        <v>173</v>
      </c>
      <c r="X70" s="8" t="s">
        <v>172</v>
      </c>
      <c r="Y70" s="8" t="s">
        <v>17</v>
      </c>
      <c r="Z70" t="str">
        <f t="shared" si="1"/>
        <v>00000069SI</v>
      </c>
      <c r="AA70" s="11" t="e">
        <f>MATCH(Tabla9[[#This Row],[AUX]],Loockup_ObrasGerencia[[#All],[aux]],0)</f>
        <v>#N/A</v>
      </c>
    </row>
    <row r="71" spans="1:27" x14ac:dyDescent="0.25">
      <c r="A71" s="30" t="s">
        <v>175</v>
      </c>
      <c r="B71" s="30" t="s">
        <v>174</v>
      </c>
      <c r="C71" s="30" t="s">
        <v>17</v>
      </c>
      <c r="D71" s="30" t="str" cm="1">
        <f t="array" ref="D71">UPPER(_xlfn.XLOOKUP(Loockup_ObrasGerencia[[#This Row],[OBRA_PRONTO]],Tabla7[[#All],[Obra]],Tabla7[[#All],[Gerente de obra]],"Sin Obra Asignada",0))</f>
        <v>FRANCISCO DI LISIO</v>
      </c>
      <c r="E71" s="31" t="str">
        <f>Loockup_ObrasGerencia[[#This Row],[OBRA_PRONTO]]&amp;Loockup_ObrasGerencia[[#This Row],[GERENCIA]]</f>
        <v>00000070FRANCISCO DI LISIO</v>
      </c>
      <c r="H71" t="s">
        <v>176</v>
      </c>
      <c r="I71" t="s">
        <v>177</v>
      </c>
      <c r="J71" t="s">
        <v>191</v>
      </c>
      <c r="K71" t="str">
        <f>Tabla7[[#This Row],[Obra]]&amp;Tabla7[[#This Row],[Gerente de obra]]</f>
        <v>00000072Diego Aguirre</v>
      </c>
      <c r="L71">
        <f>MATCH(Tabla7[[#This Row],[AUX]],Loockup_ObrasGerencia[[#All],[aux]],0)</f>
        <v>73</v>
      </c>
      <c r="O71" t="str">
        <f>UPPER(GERENCIAS[[#This Row],[Gerente de obra]])</f>
        <v>TRUJILLO</v>
      </c>
      <c r="R71" t="s">
        <v>192</v>
      </c>
      <c r="S71" t="s">
        <v>193</v>
      </c>
      <c r="T71" t="s">
        <v>25</v>
      </c>
      <c r="W71" s="8" t="s">
        <v>175</v>
      </c>
      <c r="X71" s="8" t="s">
        <v>174</v>
      </c>
      <c r="Y71" s="8" t="s">
        <v>17</v>
      </c>
      <c r="Z71" t="str">
        <f t="shared" si="1"/>
        <v>00000070SI</v>
      </c>
      <c r="AA71" s="11" t="e">
        <f>MATCH(Tabla9[[#This Row],[AUX]],Loockup_ObrasGerencia[[#All],[aux]],0)</f>
        <v>#N/A</v>
      </c>
    </row>
    <row r="72" spans="1:27" x14ac:dyDescent="0.25">
      <c r="A72" s="30" t="s">
        <v>194</v>
      </c>
      <c r="B72" s="30" t="s">
        <v>195</v>
      </c>
      <c r="C72" s="30" t="s">
        <v>17</v>
      </c>
      <c r="D72" s="30" t="str" cm="1">
        <f t="array" ref="D72">UPPER(_xlfn.XLOOKUP(Loockup_ObrasGerencia[[#This Row],[OBRA_PRONTO]],Tabla7[[#All],[Obra]],Tabla7[[#All],[Gerente de obra]],"Sin Obra Asignada",0))</f>
        <v>SIN OBRA ASIGNADA</v>
      </c>
      <c r="E72" s="31" t="str">
        <f>Loockup_ObrasGerencia[[#This Row],[OBRA_PRONTO]]&amp;Loockup_ObrasGerencia[[#This Row],[GERENCIA]]</f>
        <v>00000071SIN OBRA ASIGNADA</v>
      </c>
      <c r="H72" t="s">
        <v>179</v>
      </c>
      <c r="I72" t="s">
        <v>180</v>
      </c>
      <c r="J72" t="s">
        <v>18</v>
      </c>
      <c r="K72" t="str">
        <f>Tabla7[[#This Row],[Obra]]&amp;Tabla7[[#This Row],[Gerente de obra]]</f>
        <v>00000073Ortiz Juan Manuel</v>
      </c>
      <c r="L72">
        <f>MATCH(Tabla7[[#This Row],[AUX]],Loockup_ObrasGerencia[[#All],[aux]],0)</f>
        <v>74</v>
      </c>
      <c r="O72" t="str">
        <f>UPPER(GERENCIAS[[#This Row],[Gerente de obra]])</f>
        <v>ORTIZ JUAN MANUEL</v>
      </c>
      <c r="R72" t="s">
        <v>196</v>
      </c>
      <c r="S72" t="s">
        <v>197</v>
      </c>
      <c r="T72" t="s">
        <v>19</v>
      </c>
      <c r="W72" s="8" t="s">
        <v>194</v>
      </c>
      <c r="X72" s="8" t="s">
        <v>195</v>
      </c>
      <c r="Y72" s="8" t="s">
        <v>17</v>
      </c>
      <c r="Z72" t="str">
        <f t="shared" si="1"/>
        <v>00000071SI</v>
      </c>
      <c r="AA72" s="11" t="e">
        <f>MATCH(Tabla9[[#This Row],[AUX]],Loockup_ObrasGerencia[[#All],[aux]],0)</f>
        <v>#N/A</v>
      </c>
    </row>
    <row r="73" spans="1:27" x14ac:dyDescent="0.25">
      <c r="A73" s="30" t="s">
        <v>177</v>
      </c>
      <c r="B73" s="30" t="s">
        <v>176</v>
      </c>
      <c r="C73" s="30" t="s">
        <v>64</v>
      </c>
      <c r="D73" s="30" t="str" cm="1">
        <f t="array" ref="D73">UPPER(_xlfn.XLOOKUP(Loockup_ObrasGerencia[[#This Row],[OBRA_PRONTO]],Tabla7[[#All],[Obra]],Tabla7[[#All],[Gerente de obra]],"Sin Obra Asignada",0))</f>
        <v>DIEGO AGUIRRE</v>
      </c>
      <c r="E73" s="31" t="str">
        <f>Loockup_ObrasGerencia[[#This Row],[OBRA_PRONTO]]&amp;Loockup_ObrasGerencia[[#This Row],[GERENCIA]]</f>
        <v>00000072DIEGO AGUIRRE</v>
      </c>
      <c r="H73" t="s">
        <v>181</v>
      </c>
      <c r="I73" t="s">
        <v>182</v>
      </c>
      <c r="J73" t="s">
        <v>79</v>
      </c>
      <c r="K73" t="str">
        <f>Tabla7[[#This Row],[Obra]]&amp;Tabla7[[#This Row],[Gerente de obra]]</f>
        <v>00000074Francisco Di Lisio</v>
      </c>
      <c r="L73">
        <f>MATCH(Tabla7[[#This Row],[AUX]],Loockup_ObrasGerencia[[#All],[aux]],0)</f>
        <v>75</v>
      </c>
      <c r="O73" t="str">
        <f>UPPER(GERENCIAS[[#This Row],[Gerente de obra]])</f>
        <v>ORTIZ JUAN MANUEL</v>
      </c>
      <c r="R73" t="s">
        <v>198</v>
      </c>
      <c r="S73" t="s">
        <v>199</v>
      </c>
      <c r="T73" t="s">
        <v>19</v>
      </c>
      <c r="W73" s="8" t="s">
        <v>177</v>
      </c>
      <c r="X73" s="8" t="s">
        <v>176</v>
      </c>
      <c r="Y73" s="8" t="s">
        <v>64</v>
      </c>
      <c r="Z73" t="str">
        <f t="shared" si="1"/>
        <v>00000072ADMINISTRACION</v>
      </c>
      <c r="AA73" s="11" t="e">
        <f>MATCH(Tabla9[[#This Row],[AUX]],Loockup_ObrasGerencia[[#All],[aux]],0)</f>
        <v>#N/A</v>
      </c>
    </row>
    <row r="74" spans="1:27" x14ac:dyDescent="0.25">
      <c r="A74" s="30" t="s">
        <v>180</v>
      </c>
      <c r="B74" s="30" t="s">
        <v>179</v>
      </c>
      <c r="C74" s="30" t="s">
        <v>17</v>
      </c>
      <c r="D74" s="30" t="str" cm="1">
        <f t="array" ref="D74">UPPER(_xlfn.XLOOKUP(Loockup_ObrasGerencia[[#This Row],[OBRA_PRONTO]],Tabla7[[#All],[Obra]],Tabla7[[#All],[Gerente de obra]],"Sin Obra Asignada",0))</f>
        <v>ORTIZ JUAN MANUEL</v>
      </c>
      <c r="E74" s="31" t="str">
        <f>Loockup_ObrasGerencia[[#This Row],[OBRA_PRONTO]]&amp;Loockup_ObrasGerencia[[#This Row],[GERENCIA]]</f>
        <v>00000073ORTIZ JUAN MANUEL</v>
      </c>
      <c r="H74" t="s">
        <v>183</v>
      </c>
      <c r="I74" t="s">
        <v>184</v>
      </c>
      <c r="J74" t="s">
        <v>79</v>
      </c>
      <c r="K74" t="str">
        <f>Tabla7[[#This Row],[Obra]]&amp;Tabla7[[#This Row],[Gerente de obra]]</f>
        <v>00000075Francisco Di Lisio</v>
      </c>
      <c r="L74">
        <f>MATCH(Tabla7[[#This Row],[AUX]],Loockup_ObrasGerencia[[#All],[aux]],0)</f>
        <v>76</v>
      </c>
      <c r="O74" t="str">
        <f>UPPER(GERENCIAS[[#This Row],[Gerente de obra]])</f>
        <v>ORTIZ JUAN MANUEL</v>
      </c>
      <c r="R74" t="s">
        <v>200</v>
      </c>
      <c r="S74" t="s">
        <v>201</v>
      </c>
      <c r="T74" t="s">
        <v>19</v>
      </c>
      <c r="W74" s="8" t="s">
        <v>180</v>
      </c>
      <c r="X74" s="8" t="s">
        <v>179</v>
      </c>
      <c r="Y74" s="8" t="s">
        <v>17</v>
      </c>
      <c r="Z74" t="str">
        <f t="shared" si="1"/>
        <v>00000073SI</v>
      </c>
      <c r="AA74" s="11" t="e">
        <f>MATCH(Tabla9[[#This Row],[AUX]],Loockup_ObrasGerencia[[#All],[aux]],0)</f>
        <v>#N/A</v>
      </c>
    </row>
    <row r="75" spans="1:27" x14ac:dyDescent="0.25">
      <c r="A75" s="30" t="s">
        <v>182</v>
      </c>
      <c r="B75" s="30" t="s">
        <v>181</v>
      </c>
      <c r="C75" s="30" t="s">
        <v>17</v>
      </c>
      <c r="D75" s="30" t="str" cm="1">
        <f t="array" ref="D75">UPPER(_xlfn.XLOOKUP(Loockup_ObrasGerencia[[#This Row],[OBRA_PRONTO]],Tabla7[[#All],[Obra]],Tabla7[[#All],[Gerente de obra]],"Sin Obra Asignada",0))</f>
        <v>FRANCISCO DI LISIO</v>
      </c>
      <c r="E75" s="31" t="str">
        <f>Loockup_ObrasGerencia[[#This Row],[OBRA_PRONTO]]&amp;Loockup_ObrasGerencia[[#This Row],[GERENCIA]]</f>
        <v>00000074FRANCISCO DI LISIO</v>
      </c>
      <c r="H75" t="s">
        <v>185</v>
      </c>
      <c r="I75" t="s">
        <v>186</v>
      </c>
      <c r="J75" t="s">
        <v>79</v>
      </c>
      <c r="K75" t="str">
        <f>Tabla7[[#This Row],[Obra]]&amp;Tabla7[[#This Row],[Gerente de obra]]</f>
        <v>00000076Francisco Di Lisio</v>
      </c>
      <c r="L75">
        <f>MATCH(Tabla7[[#This Row],[AUX]],Loockup_ObrasGerencia[[#All],[aux]],0)</f>
        <v>77</v>
      </c>
      <c r="O75" t="str">
        <f>UPPER(GERENCIAS[[#This Row],[Gerente de obra]])</f>
        <v>ORTIZ JUAN MANUEL</v>
      </c>
      <c r="R75" t="s">
        <v>202</v>
      </c>
      <c r="S75" t="s">
        <v>203</v>
      </c>
      <c r="T75" t="s">
        <v>19</v>
      </c>
      <c r="W75" s="8" t="s">
        <v>182</v>
      </c>
      <c r="X75" s="8" t="s">
        <v>181</v>
      </c>
      <c r="Y75" s="8" t="s">
        <v>17</v>
      </c>
      <c r="Z75" t="str">
        <f t="shared" si="1"/>
        <v>00000074SI</v>
      </c>
      <c r="AA75" s="11" t="e">
        <f>MATCH(Tabla9[[#This Row],[AUX]],Loockup_ObrasGerencia[[#All],[aux]],0)</f>
        <v>#N/A</v>
      </c>
    </row>
    <row r="76" spans="1:27" x14ac:dyDescent="0.25">
      <c r="A76" s="30" t="s">
        <v>184</v>
      </c>
      <c r="B76" s="30" t="s">
        <v>183</v>
      </c>
      <c r="C76" s="30" t="s">
        <v>17</v>
      </c>
      <c r="D76" s="30" t="str" cm="1">
        <f t="array" ref="D76">UPPER(_xlfn.XLOOKUP(Loockup_ObrasGerencia[[#This Row],[OBRA_PRONTO]],Tabla7[[#All],[Obra]],Tabla7[[#All],[Gerente de obra]],"Sin Obra Asignada",0))</f>
        <v>FRANCISCO DI LISIO</v>
      </c>
      <c r="E76" s="31" t="str">
        <f>Loockup_ObrasGerencia[[#This Row],[OBRA_PRONTO]]&amp;Loockup_ObrasGerencia[[#This Row],[GERENCIA]]</f>
        <v>00000075FRANCISCO DI LISIO</v>
      </c>
      <c r="H76" t="s">
        <v>187</v>
      </c>
      <c r="I76" t="s">
        <v>188</v>
      </c>
      <c r="J76" t="s">
        <v>18</v>
      </c>
      <c r="K76" t="str">
        <f>Tabla7[[#This Row],[Obra]]&amp;Tabla7[[#This Row],[Gerente de obra]]</f>
        <v>00000077Ortiz Juan Manuel</v>
      </c>
      <c r="L76">
        <f>MATCH(Tabla7[[#This Row],[AUX]],Loockup_ObrasGerencia[[#All],[aux]],0)</f>
        <v>78</v>
      </c>
      <c r="O76" t="str">
        <f>UPPER(GERENCIAS[[#This Row],[Gerente de obra]])</f>
        <v>FRANCISCO DI LISIO</v>
      </c>
      <c r="R76" t="s">
        <v>204</v>
      </c>
      <c r="S76" t="s">
        <v>205</v>
      </c>
      <c r="T76" t="s">
        <v>78</v>
      </c>
      <c r="W76" s="8" t="s">
        <v>184</v>
      </c>
      <c r="X76" s="8" t="s">
        <v>183</v>
      </c>
      <c r="Y76" s="8" t="s">
        <v>17</v>
      </c>
      <c r="Z76" t="str">
        <f t="shared" si="1"/>
        <v>00000075SI</v>
      </c>
      <c r="AA76" s="11" t="e">
        <f>MATCH(Tabla9[[#This Row],[AUX]],Loockup_ObrasGerencia[[#All],[aux]],0)</f>
        <v>#N/A</v>
      </c>
    </row>
    <row r="77" spans="1:27" x14ac:dyDescent="0.25">
      <c r="A77" s="30" t="s">
        <v>186</v>
      </c>
      <c r="B77" s="30" t="s">
        <v>185</v>
      </c>
      <c r="C77" s="30" t="s">
        <v>17</v>
      </c>
      <c r="D77" s="30" t="str" cm="1">
        <f t="array" ref="D77">UPPER(_xlfn.XLOOKUP(Loockup_ObrasGerencia[[#This Row],[OBRA_PRONTO]],Tabla7[[#All],[Obra]],Tabla7[[#All],[Gerente de obra]],"Sin Obra Asignada",0))</f>
        <v>FRANCISCO DI LISIO</v>
      </c>
      <c r="E77" s="31" t="str">
        <f>Loockup_ObrasGerencia[[#This Row],[OBRA_PRONTO]]&amp;Loockup_ObrasGerencia[[#This Row],[GERENCIA]]</f>
        <v>00000076FRANCISCO DI LISIO</v>
      </c>
      <c r="H77" t="s">
        <v>189</v>
      </c>
      <c r="I77" t="s">
        <v>190</v>
      </c>
      <c r="J77" t="s">
        <v>141</v>
      </c>
      <c r="K77" t="str">
        <f>Tabla7[[#This Row],[Obra]]&amp;Tabla7[[#This Row],[Gerente de obra]]</f>
        <v>00000078Barone Alberto</v>
      </c>
      <c r="L77">
        <f>MATCH(Tabla7[[#This Row],[AUX]],Loockup_ObrasGerencia[[#All],[aux]],0)</f>
        <v>79</v>
      </c>
      <c r="O77" t="str">
        <f>UPPER(GERENCIAS[[#This Row],[Gerente de obra]])</f>
        <v>ORTIZ JUAN MANUEL</v>
      </c>
      <c r="R77" t="s">
        <v>206</v>
      </c>
      <c r="S77" t="s">
        <v>207</v>
      </c>
      <c r="T77" t="s">
        <v>19</v>
      </c>
      <c r="W77" s="8" t="s">
        <v>186</v>
      </c>
      <c r="X77" s="8" t="s">
        <v>185</v>
      </c>
      <c r="Y77" s="8" t="s">
        <v>17</v>
      </c>
      <c r="Z77" t="str">
        <f t="shared" si="1"/>
        <v>00000076SI</v>
      </c>
      <c r="AA77" s="11" t="e">
        <f>MATCH(Tabla9[[#This Row],[AUX]],Loockup_ObrasGerencia[[#All],[aux]],0)</f>
        <v>#N/A</v>
      </c>
    </row>
    <row r="78" spans="1:27" x14ac:dyDescent="0.25">
      <c r="A78" s="30" t="s">
        <v>188</v>
      </c>
      <c r="B78" s="30" t="s">
        <v>187</v>
      </c>
      <c r="C78" s="30" t="s">
        <v>17</v>
      </c>
      <c r="D78" s="30" t="str" cm="1">
        <f t="array" ref="D78">UPPER(_xlfn.XLOOKUP(Loockup_ObrasGerencia[[#This Row],[OBRA_PRONTO]],Tabla7[[#All],[Obra]],Tabla7[[#All],[Gerente de obra]],"Sin Obra Asignada",0))</f>
        <v>ORTIZ JUAN MANUEL</v>
      </c>
      <c r="E78" s="31" t="str">
        <f>Loockup_ObrasGerencia[[#This Row],[OBRA_PRONTO]]&amp;Loockup_ObrasGerencia[[#This Row],[GERENCIA]]</f>
        <v>00000077ORTIZ JUAN MANUEL</v>
      </c>
      <c r="H78" t="s">
        <v>192</v>
      </c>
      <c r="I78" t="s">
        <v>193</v>
      </c>
      <c r="J78" t="s">
        <v>24</v>
      </c>
      <c r="K78" t="str">
        <f>Tabla7[[#This Row],[Obra]]&amp;Tabla7[[#This Row],[Gerente de obra]]</f>
        <v>00000079Trujillo</v>
      </c>
      <c r="L78">
        <f>MATCH(Tabla7[[#This Row],[AUX]],Loockup_ObrasGerencia[[#All],[aux]],0)</f>
        <v>80</v>
      </c>
      <c r="O78" t="str">
        <f>UPPER(GERENCIAS[[#This Row],[Gerente de obra]])</f>
        <v>ORTIZ JUAN MANUEL</v>
      </c>
      <c r="R78" t="s">
        <v>208</v>
      </c>
      <c r="S78" t="s">
        <v>209</v>
      </c>
      <c r="T78" t="s">
        <v>19</v>
      </c>
      <c r="W78" s="8" t="s">
        <v>188</v>
      </c>
      <c r="X78" s="8" t="s">
        <v>187</v>
      </c>
      <c r="Y78" s="8" t="s">
        <v>17</v>
      </c>
      <c r="Z78" t="str">
        <f t="shared" si="1"/>
        <v>00000077SI</v>
      </c>
      <c r="AA78" s="11" t="e">
        <f>MATCH(Tabla9[[#This Row],[AUX]],Loockup_ObrasGerencia[[#All],[aux]],0)</f>
        <v>#N/A</v>
      </c>
    </row>
    <row r="79" spans="1:27" x14ac:dyDescent="0.25">
      <c r="A79" s="30" t="s">
        <v>190</v>
      </c>
      <c r="B79" s="30" t="s">
        <v>189</v>
      </c>
      <c r="C79" s="30" t="s">
        <v>17</v>
      </c>
      <c r="D79" s="30" t="str" cm="1">
        <f t="array" ref="D79">UPPER(_xlfn.XLOOKUP(Loockup_ObrasGerencia[[#This Row],[OBRA_PRONTO]],Tabla7[[#All],[Obra]],Tabla7[[#All],[Gerente de obra]],"Sin Obra Asignada",0))</f>
        <v>BARONE ALBERTO</v>
      </c>
      <c r="E79" s="31" t="str">
        <f>Loockup_ObrasGerencia[[#This Row],[OBRA_PRONTO]]&amp;Loockup_ObrasGerencia[[#This Row],[GERENCIA]]</f>
        <v>00000078BARONE ALBERTO</v>
      </c>
      <c r="H79" t="s">
        <v>196</v>
      </c>
      <c r="I79" t="s">
        <v>197</v>
      </c>
      <c r="J79" t="s">
        <v>18</v>
      </c>
      <c r="K79" t="str">
        <f>Tabla7[[#This Row],[Obra]]&amp;Tabla7[[#This Row],[Gerente de obra]]</f>
        <v>00000080Ortiz Juan Manuel</v>
      </c>
      <c r="L79">
        <f>MATCH(Tabla7[[#This Row],[AUX]],Loockup_ObrasGerencia[[#All],[aux]],0)</f>
        <v>81</v>
      </c>
      <c r="O79" t="str">
        <f>UPPER(GERENCIAS[[#This Row],[Gerente de obra]])</f>
        <v>ORTIZ JUAN MANUEL</v>
      </c>
      <c r="R79" t="s">
        <v>210</v>
      </c>
      <c r="S79" t="s">
        <v>211</v>
      </c>
      <c r="T79" t="s">
        <v>19</v>
      </c>
      <c r="W79" s="8" t="s">
        <v>190</v>
      </c>
      <c r="X79" s="8" t="s">
        <v>189</v>
      </c>
      <c r="Y79" s="8" t="s">
        <v>17</v>
      </c>
      <c r="Z79" t="str">
        <f t="shared" si="1"/>
        <v>00000078SI</v>
      </c>
      <c r="AA79" s="11" t="e">
        <f>MATCH(Tabla9[[#This Row],[AUX]],Loockup_ObrasGerencia[[#All],[aux]],0)</f>
        <v>#N/A</v>
      </c>
    </row>
    <row r="80" spans="1:27" x14ac:dyDescent="0.25">
      <c r="A80" s="30" t="s">
        <v>193</v>
      </c>
      <c r="B80" s="30" t="s">
        <v>192</v>
      </c>
      <c r="C80" s="30" t="s">
        <v>17</v>
      </c>
      <c r="D80" s="30" t="str" cm="1">
        <f t="array" ref="D80">UPPER(_xlfn.XLOOKUP(Loockup_ObrasGerencia[[#This Row],[OBRA_PRONTO]],Tabla7[[#All],[Obra]],Tabla7[[#All],[Gerente de obra]],"Sin Obra Asignada",0))</f>
        <v>TRUJILLO</v>
      </c>
      <c r="E80" s="31" t="str">
        <f>Loockup_ObrasGerencia[[#This Row],[OBRA_PRONTO]]&amp;Loockup_ObrasGerencia[[#This Row],[GERENCIA]]</f>
        <v>00000079TRUJILLO</v>
      </c>
      <c r="H80" t="s">
        <v>198</v>
      </c>
      <c r="I80" t="s">
        <v>199</v>
      </c>
      <c r="J80" t="s">
        <v>18</v>
      </c>
      <c r="K80" t="str">
        <f>Tabla7[[#This Row],[Obra]]&amp;Tabla7[[#This Row],[Gerente de obra]]</f>
        <v>00000081Ortiz Juan Manuel</v>
      </c>
      <c r="L80">
        <f>MATCH(Tabla7[[#This Row],[AUX]],Loockup_ObrasGerencia[[#All],[aux]],0)</f>
        <v>82</v>
      </c>
      <c r="O80" t="str">
        <f>UPPER(GERENCIAS[[#This Row],[Gerente de obra]])</f>
        <v>ORTIZ JUAN MANUEL</v>
      </c>
      <c r="R80" t="s">
        <v>212</v>
      </c>
      <c r="S80" t="s">
        <v>213</v>
      </c>
      <c r="T80" t="s">
        <v>19</v>
      </c>
      <c r="W80" s="8" t="s">
        <v>193</v>
      </c>
      <c r="X80" s="8" t="s">
        <v>192</v>
      </c>
      <c r="Y80" s="8" t="s">
        <v>17</v>
      </c>
      <c r="Z80" t="str">
        <f t="shared" si="1"/>
        <v>00000079SI</v>
      </c>
      <c r="AA80" s="11" t="e">
        <f>MATCH(Tabla9[[#This Row],[AUX]],Loockup_ObrasGerencia[[#All],[aux]],0)</f>
        <v>#N/A</v>
      </c>
    </row>
    <row r="81" spans="1:27" x14ac:dyDescent="0.25">
      <c r="A81" s="30" t="s">
        <v>197</v>
      </c>
      <c r="B81" s="30" t="s">
        <v>196</v>
      </c>
      <c r="C81" s="30" t="s">
        <v>17</v>
      </c>
      <c r="D81" s="30" t="str" cm="1">
        <f t="array" ref="D81">UPPER(_xlfn.XLOOKUP(Loockup_ObrasGerencia[[#This Row],[OBRA_PRONTO]],Tabla7[[#All],[Obra]],Tabla7[[#All],[Gerente de obra]],"Sin Obra Asignada",0))</f>
        <v>ORTIZ JUAN MANUEL</v>
      </c>
      <c r="E81" s="31" t="str">
        <f>Loockup_ObrasGerencia[[#This Row],[OBRA_PRONTO]]&amp;Loockup_ObrasGerencia[[#This Row],[GERENCIA]]</f>
        <v>00000080ORTIZ JUAN MANUEL</v>
      </c>
      <c r="H81" t="s">
        <v>200</v>
      </c>
      <c r="I81" t="s">
        <v>201</v>
      </c>
      <c r="J81" t="s">
        <v>18</v>
      </c>
      <c r="K81" t="str">
        <f>Tabla7[[#This Row],[Obra]]&amp;Tabla7[[#This Row],[Gerente de obra]]</f>
        <v>00000082Ortiz Juan Manuel</v>
      </c>
      <c r="L81">
        <f>MATCH(Tabla7[[#This Row],[AUX]],Loockup_ObrasGerencia[[#All],[aux]],0)</f>
        <v>83</v>
      </c>
      <c r="O81" t="str">
        <f>UPPER(GERENCIAS[[#This Row],[Gerente de obra]])</f>
        <v>ORTIZ JUAN MANUEL</v>
      </c>
      <c r="R81" t="s">
        <v>214</v>
      </c>
      <c r="S81" t="s">
        <v>215</v>
      </c>
      <c r="T81" t="s">
        <v>19</v>
      </c>
      <c r="W81" s="8" t="s">
        <v>197</v>
      </c>
      <c r="X81" s="8" t="s">
        <v>196</v>
      </c>
      <c r="Y81" s="8" t="s">
        <v>17</v>
      </c>
      <c r="Z81" t="str">
        <f t="shared" si="1"/>
        <v>00000080SI</v>
      </c>
      <c r="AA81" s="11" t="e">
        <f>MATCH(Tabla9[[#This Row],[AUX]],Loockup_ObrasGerencia[[#All],[aux]],0)</f>
        <v>#N/A</v>
      </c>
    </row>
    <row r="82" spans="1:27" x14ac:dyDescent="0.25">
      <c r="A82" s="30" t="s">
        <v>199</v>
      </c>
      <c r="B82" s="30" t="s">
        <v>198</v>
      </c>
      <c r="C82" s="30" t="s">
        <v>17</v>
      </c>
      <c r="D82" s="30" t="str" cm="1">
        <f t="array" ref="D82">UPPER(_xlfn.XLOOKUP(Loockup_ObrasGerencia[[#This Row],[OBRA_PRONTO]],Tabla7[[#All],[Obra]],Tabla7[[#All],[Gerente de obra]],"Sin Obra Asignada",0))</f>
        <v>ORTIZ JUAN MANUEL</v>
      </c>
      <c r="E82" s="31" t="str">
        <f>Loockup_ObrasGerencia[[#This Row],[OBRA_PRONTO]]&amp;Loockup_ObrasGerencia[[#This Row],[GERENCIA]]</f>
        <v>00000081ORTIZ JUAN MANUEL</v>
      </c>
      <c r="H82" t="s">
        <v>202</v>
      </c>
      <c r="I82" t="s">
        <v>203</v>
      </c>
      <c r="J82" t="s">
        <v>18</v>
      </c>
      <c r="K82" t="str">
        <f>Tabla7[[#This Row],[Obra]]&amp;Tabla7[[#This Row],[Gerente de obra]]</f>
        <v>00000083Ortiz Juan Manuel</v>
      </c>
      <c r="L82">
        <f>MATCH(Tabla7[[#This Row],[AUX]],Loockup_ObrasGerencia[[#All],[aux]],0)</f>
        <v>84</v>
      </c>
      <c r="O82" t="str">
        <f>UPPER(GERENCIAS[[#This Row],[Gerente de obra]])</f>
        <v>ORTIZ JUAN MANUEL</v>
      </c>
      <c r="R82" t="s">
        <v>216</v>
      </c>
      <c r="S82" t="s">
        <v>217</v>
      </c>
      <c r="T82" t="s">
        <v>19</v>
      </c>
      <c r="W82" s="8" t="s">
        <v>199</v>
      </c>
      <c r="X82" s="8" t="s">
        <v>198</v>
      </c>
      <c r="Y82" s="8" t="s">
        <v>17</v>
      </c>
      <c r="Z82" t="str">
        <f t="shared" si="1"/>
        <v>00000081SI</v>
      </c>
      <c r="AA82" s="11" t="e">
        <f>MATCH(Tabla9[[#This Row],[AUX]],Loockup_ObrasGerencia[[#All],[aux]],0)</f>
        <v>#N/A</v>
      </c>
    </row>
    <row r="83" spans="1:27" x14ac:dyDescent="0.25">
      <c r="A83" s="30" t="s">
        <v>201</v>
      </c>
      <c r="B83" s="30" t="s">
        <v>200</v>
      </c>
      <c r="C83" s="30" t="s">
        <v>17</v>
      </c>
      <c r="D83" s="30" t="str" cm="1">
        <f t="array" ref="D83">UPPER(_xlfn.XLOOKUP(Loockup_ObrasGerencia[[#This Row],[OBRA_PRONTO]],Tabla7[[#All],[Obra]],Tabla7[[#All],[Gerente de obra]],"Sin Obra Asignada",0))</f>
        <v>ORTIZ JUAN MANUEL</v>
      </c>
      <c r="E83" s="31" t="str">
        <f>Loockup_ObrasGerencia[[#This Row],[OBRA_PRONTO]]&amp;Loockup_ObrasGerencia[[#This Row],[GERENCIA]]</f>
        <v>00000082ORTIZ JUAN MANUEL</v>
      </c>
      <c r="H83" t="s">
        <v>204</v>
      </c>
      <c r="I83" t="s">
        <v>205</v>
      </c>
      <c r="J83" t="s">
        <v>79</v>
      </c>
      <c r="K83" t="str">
        <f>Tabla7[[#This Row],[Obra]]&amp;Tabla7[[#This Row],[Gerente de obra]]</f>
        <v>00000084Francisco Di Lisio</v>
      </c>
      <c r="L83">
        <f>MATCH(Tabla7[[#This Row],[AUX]],Loockup_ObrasGerencia[[#All],[aux]],0)</f>
        <v>85</v>
      </c>
      <c r="O83" t="str">
        <f>UPPER(GERENCIAS[[#This Row],[Gerente de obra]])</f>
        <v>SANCHEZ OSCAR</v>
      </c>
      <c r="R83" t="s">
        <v>218</v>
      </c>
      <c r="S83" t="s">
        <v>219</v>
      </c>
      <c r="T83" t="s">
        <v>53</v>
      </c>
      <c r="W83" s="8" t="s">
        <v>201</v>
      </c>
      <c r="X83" s="8" t="s">
        <v>200</v>
      </c>
      <c r="Y83" s="8" t="s">
        <v>17</v>
      </c>
      <c r="Z83" t="str">
        <f t="shared" si="1"/>
        <v>00000082SI</v>
      </c>
      <c r="AA83" s="11" t="e">
        <f>MATCH(Tabla9[[#This Row],[AUX]],Loockup_ObrasGerencia[[#All],[aux]],0)</f>
        <v>#N/A</v>
      </c>
    </row>
    <row r="84" spans="1:27" x14ac:dyDescent="0.25">
      <c r="A84" s="30" t="s">
        <v>203</v>
      </c>
      <c r="B84" s="30" t="s">
        <v>202</v>
      </c>
      <c r="C84" s="30" t="s">
        <v>17</v>
      </c>
      <c r="D84" s="30" t="str" cm="1">
        <f t="array" ref="D84">UPPER(_xlfn.XLOOKUP(Loockup_ObrasGerencia[[#This Row],[OBRA_PRONTO]],Tabla7[[#All],[Obra]],Tabla7[[#All],[Gerente de obra]],"Sin Obra Asignada",0))</f>
        <v>ORTIZ JUAN MANUEL</v>
      </c>
      <c r="E84" s="31" t="str">
        <f>Loockup_ObrasGerencia[[#This Row],[OBRA_PRONTO]]&amp;Loockup_ObrasGerencia[[#This Row],[GERENCIA]]</f>
        <v>00000083ORTIZ JUAN MANUEL</v>
      </c>
      <c r="H84" t="s">
        <v>206</v>
      </c>
      <c r="I84" t="s">
        <v>207</v>
      </c>
      <c r="J84" t="s">
        <v>18</v>
      </c>
      <c r="K84" t="str">
        <f>Tabla7[[#This Row],[Obra]]&amp;Tabla7[[#This Row],[Gerente de obra]]</f>
        <v>00000085Ortiz Juan Manuel</v>
      </c>
      <c r="L84">
        <f>MATCH(Tabla7[[#This Row],[AUX]],Loockup_ObrasGerencia[[#All],[aux]],0)</f>
        <v>86</v>
      </c>
      <c r="O84" t="str">
        <f>UPPER(GERENCIAS[[#This Row],[Gerente de obra]])</f>
        <v>DIEGO AGUIRRE</v>
      </c>
      <c r="R84" t="s">
        <v>220</v>
      </c>
      <c r="S84" t="s">
        <v>221</v>
      </c>
      <c r="T84" t="s">
        <v>178</v>
      </c>
      <c r="W84" s="8" t="s">
        <v>203</v>
      </c>
      <c r="X84" s="8" t="s">
        <v>202</v>
      </c>
      <c r="Y84" s="8" t="s">
        <v>17</v>
      </c>
      <c r="Z84" t="str">
        <f t="shared" si="1"/>
        <v>00000083SI</v>
      </c>
      <c r="AA84" s="11" t="e">
        <f>MATCH(Tabla9[[#This Row],[AUX]],Loockup_ObrasGerencia[[#All],[aux]],0)</f>
        <v>#N/A</v>
      </c>
    </row>
    <row r="85" spans="1:27" x14ac:dyDescent="0.25">
      <c r="A85" s="30" t="s">
        <v>205</v>
      </c>
      <c r="B85" s="30" t="s">
        <v>204</v>
      </c>
      <c r="C85" s="30" t="s">
        <v>17</v>
      </c>
      <c r="D85" s="30" t="str" cm="1">
        <f t="array" ref="D85">UPPER(_xlfn.XLOOKUP(Loockup_ObrasGerencia[[#This Row],[OBRA_PRONTO]],Tabla7[[#All],[Obra]],Tabla7[[#All],[Gerente de obra]],"Sin Obra Asignada",0))</f>
        <v>FRANCISCO DI LISIO</v>
      </c>
      <c r="E85" s="31" t="str">
        <f>Loockup_ObrasGerencia[[#This Row],[OBRA_PRONTO]]&amp;Loockup_ObrasGerencia[[#This Row],[GERENCIA]]</f>
        <v>00000084FRANCISCO DI LISIO</v>
      </c>
      <c r="H85" t="s">
        <v>208</v>
      </c>
      <c r="I85" t="s">
        <v>209</v>
      </c>
      <c r="J85" t="s">
        <v>18</v>
      </c>
      <c r="K85" t="str">
        <f>Tabla7[[#This Row],[Obra]]&amp;Tabla7[[#This Row],[Gerente de obra]]</f>
        <v>00000086Ortiz Juan Manuel</v>
      </c>
      <c r="L85">
        <f>MATCH(Tabla7[[#This Row],[AUX]],Loockup_ObrasGerencia[[#All],[aux]],0)</f>
        <v>87</v>
      </c>
      <c r="O85" t="str">
        <f>UPPER(GERENCIAS[[#This Row],[Gerente de obra]])</f>
        <v>ORTIZ JUAN MANUEL</v>
      </c>
      <c r="R85" t="s">
        <v>222</v>
      </c>
      <c r="S85" t="s">
        <v>223</v>
      </c>
      <c r="T85" t="s">
        <v>19</v>
      </c>
      <c r="W85" s="8" t="s">
        <v>205</v>
      </c>
      <c r="X85" s="8" t="s">
        <v>204</v>
      </c>
      <c r="Y85" s="8" t="s">
        <v>17</v>
      </c>
      <c r="Z85" t="str">
        <f t="shared" si="1"/>
        <v>00000084SI</v>
      </c>
      <c r="AA85" s="11" t="e">
        <f>MATCH(Tabla9[[#This Row],[AUX]],Loockup_ObrasGerencia[[#All],[aux]],0)</f>
        <v>#N/A</v>
      </c>
    </row>
    <row r="86" spans="1:27" x14ac:dyDescent="0.25">
      <c r="A86" s="30" t="s">
        <v>207</v>
      </c>
      <c r="B86" s="30" t="s">
        <v>206</v>
      </c>
      <c r="C86" s="30" t="s">
        <v>17</v>
      </c>
      <c r="D86" s="30" t="str" cm="1">
        <f t="array" ref="D86">UPPER(_xlfn.XLOOKUP(Loockup_ObrasGerencia[[#This Row],[OBRA_PRONTO]],Tabla7[[#All],[Obra]],Tabla7[[#All],[Gerente de obra]],"Sin Obra Asignada",0))</f>
        <v>ORTIZ JUAN MANUEL</v>
      </c>
      <c r="E86" s="31" t="str">
        <f>Loockup_ObrasGerencia[[#This Row],[OBRA_PRONTO]]&amp;Loockup_ObrasGerencia[[#This Row],[GERENCIA]]</f>
        <v>00000085ORTIZ JUAN MANUEL</v>
      </c>
      <c r="H86" t="s">
        <v>210</v>
      </c>
      <c r="I86" t="s">
        <v>211</v>
      </c>
      <c r="J86" t="s">
        <v>18</v>
      </c>
      <c r="K86" t="str">
        <f>Tabla7[[#This Row],[Obra]]&amp;Tabla7[[#This Row],[Gerente de obra]]</f>
        <v>00000087Ortiz Juan Manuel</v>
      </c>
      <c r="L86">
        <f>MATCH(Tabla7[[#This Row],[AUX]],Loockup_ObrasGerencia[[#All],[aux]],0)</f>
        <v>88</v>
      </c>
      <c r="O86" t="str">
        <f>UPPER(GERENCIAS[[#This Row],[Gerente de obra]])</f>
        <v>FANJUL NICOLÁS</v>
      </c>
      <c r="R86" t="s">
        <v>224</v>
      </c>
      <c r="S86" t="s">
        <v>225</v>
      </c>
      <c r="T86" t="s">
        <v>226</v>
      </c>
      <c r="W86" s="8" t="s">
        <v>207</v>
      </c>
      <c r="X86" s="8" t="s">
        <v>206</v>
      </c>
      <c r="Y86" s="8" t="s">
        <v>17</v>
      </c>
      <c r="Z86" t="str">
        <f t="shared" si="1"/>
        <v>00000085SI</v>
      </c>
      <c r="AA86" s="11" t="e">
        <f>MATCH(Tabla9[[#This Row],[AUX]],Loockup_ObrasGerencia[[#All],[aux]],0)</f>
        <v>#N/A</v>
      </c>
    </row>
    <row r="87" spans="1:27" x14ac:dyDescent="0.25">
      <c r="A87" s="30" t="s">
        <v>209</v>
      </c>
      <c r="B87" s="30" t="s">
        <v>208</v>
      </c>
      <c r="C87" s="30" t="s">
        <v>17</v>
      </c>
      <c r="D87" s="30" t="str" cm="1">
        <f t="array" ref="D87">UPPER(_xlfn.XLOOKUP(Loockup_ObrasGerencia[[#This Row],[OBRA_PRONTO]],Tabla7[[#All],[Obra]],Tabla7[[#All],[Gerente de obra]],"Sin Obra Asignada",0))</f>
        <v>ORTIZ JUAN MANUEL</v>
      </c>
      <c r="E87" s="31" t="str">
        <f>Loockup_ObrasGerencia[[#This Row],[OBRA_PRONTO]]&amp;Loockup_ObrasGerencia[[#This Row],[GERENCIA]]</f>
        <v>00000086ORTIZ JUAN MANUEL</v>
      </c>
      <c r="H87" t="s">
        <v>212</v>
      </c>
      <c r="I87" t="s">
        <v>213</v>
      </c>
      <c r="J87" t="s">
        <v>18</v>
      </c>
      <c r="K87" t="str">
        <f>Tabla7[[#This Row],[Obra]]&amp;Tabla7[[#This Row],[Gerente de obra]]</f>
        <v>00000088Ortiz Juan Manuel</v>
      </c>
      <c r="L87">
        <f>MATCH(Tabla7[[#This Row],[AUX]],Loockup_ObrasGerencia[[#All],[aux]],0)</f>
        <v>89</v>
      </c>
      <c r="O87" t="str">
        <f>UPPER(GERENCIAS[[#This Row],[Gerente de obra]])</f>
        <v>ORTIZ JUAN MANUEL</v>
      </c>
      <c r="R87" t="s">
        <v>227</v>
      </c>
      <c r="S87" t="s">
        <v>228</v>
      </c>
      <c r="T87" t="s">
        <v>19</v>
      </c>
      <c r="W87" s="8" t="s">
        <v>209</v>
      </c>
      <c r="X87" s="8" t="s">
        <v>208</v>
      </c>
      <c r="Y87" s="8" t="s">
        <v>17</v>
      </c>
      <c r="Z87" t="str">
        <f t="shared" si="1"/>
        <v>00000086SI</v>
      </c>
      <c r="AA87" s="11" t="e">
        <f>MATCH(Tabla9[[#This Row],[AUX]],Loockup_ObrasGerencia[[#All],[aux]],0)</f>
        <v>#N/A</v>
      </c>
    </row>
    <row r="88" spans="1:27" x14ac:dyDescent="0.25">
      <c r="A88" s="30" t="s">
        <v>211</v>
      </c>
      <c r="B88" s="30" t="s">
        <v>210</v>
      </c>
      <c r="C88" s="30" t="s">
        <v>17</v>
      </c>
      <c r="D88" s="30" t="str" cm="1">
        <f t="array" ref="D88">UPPER(_xlfn.XLOOKUP(Loockup_ObrasGerencia[[#This Row],[OBRA_PRONTO]],Tabla7[[#All],[Obra]],Tabla7[[#All],[Gerente de obra]],"Sin Obra Asignada",0))</f>
        <v>ORTIZ JUAN MANUEL</v>
      </c>
      <c r="E88" s="31" t="str">
        <f>Loockup_ObrasGerencia[[#This Row],[OBRA_PRONTO]]&amp;Loockup_ObrasGerencia[[#This Row],[GERENCIA]]</f>
        <v>00000087ORTIZ JUAN MANUEL</v>
      </c>
      <c r="H88" t="s">
        <v>214</v>
      </c>
      <c r="I88" t="s">
        <v>215</v>
      </c>
      <c r="J88" t="s">
        <v>18</v>
      </c>
      <c r="K88" t="str">
        <f>Tabla7[[#This Row],[Obra]]&amp;Tabla7[[#This Row],[Gerente de obra]]</f>
        <v>00000089Ortiz Juan Manuel</v>
      </c>
      <c r="L88">
        <f>MATCH(Tabla7[[#This Row],[AUX]],Loockup_ObrasGerencia[[#All],[aux]],0)</f>
        <v>90</v>
      </c>
      <c r="O88" t="str">
        <f>UPPER(GERENCIAS[[#This Row],[Gerente de obra]])</f>
        <v>BARONE ALBERTO</v>
      </c>
      <c r="R88" t="s">
        <v>229</v>
      </c>
      <c r="S88" t="s">
        <v>230</v>
      </c>
      <c r="T88" t="s">
        <v>132</v>
      </c>
      <c r="W88" s="8" t="s">
        <v>211</v>
      </c>
      <c r="X88" s="8" t="s">
        <v>210</v>
      </c>
      <c r="Y88" s="8" t="s">
        <v>17</v>
      </c>
      <c r="Z88" t="str">
        <f t="shared" si="1"/>
        <v>00000087SI</v>
      </c>
      <c r="AA88" s="11" t="e">
        <f>MATCH(Tabla9[[#This Row],[AUX]],Loockup_ObrasGerencia[[#All],[aux]],0)</f>
        <v>#N/A</v>
      </c>
    </row>
    <row r="89" spans="1:27" x14ac:dyDescent="0.25">
      <c r="A89" s="30" t="s">
        <v>213</v>
      </c>
      <c r="B89" s="30" t="s">
        <v>212</v>
      </c>
      <c r="C89" s="30" t="s">
        <v>17</v>
      </c>
      <c r="D89" s="30" t="str" cm="1">
        <f t="array" ref="D89">UPPER(_xlfn.XLOOKUP(Loockup_ObrasGerencia[[#This Row],[OBRA_PRONTO]],Tabla7[[#All],[Obra]],Tabla7[[#All],[Gerente de obra]],"Sin Obra Asignada",0))</f>
        <v>ORTIZ JUAN MANUEL</v>
      </c>
      <c r="E89" s="31" t="str">
        <f>Loockup_ObrasGerencia[[#This Row],[OBRA_PRONTO]]&amp;Loockup_ObrasGerencia[[#This Row],[GERENCIA]]</f>
        <v>00000088ORTIZ JUAN MANUEL</v>
      </c>
      <c r="H89" t="s">
        <v>216</v>
      </c>
      <c r="I89" t="s">
        <v>217</v>
      </c>
      <c r="J89" t="s">
        <v>18</v>
      </c>
      <c r="K89" t="str">
        <f>Tabla7[[#This Row],[Obra]]&amp;Tabla7[[#This Row],[Gerente de obra]]</f>
        <v>00000090Ortiz Juan Manuel</v>
      </c>
      <c r="L89">
        <f>MATCH(Tabla7[[#This Row],[AUX]],Loockup_ObrasGerencia[[#All],[aux]],0)</f>
        <v>91</v>
      </c>
      <c r="O89" t="str">
        <f>UPPER(GERENCIAS[[#This Row],[Gerente de obra]])</f>
        <v>BARONE ALBERTO</v>
      </c>
      <c r="R89" t="s">
        <v>231</v>
      </c>
      <c r="S89" t="s">
        <v>232</v>
      </c>
      <c r="T89" t="s">
        <v>132</v>
      </c>
      <c r="W89" s="8" t="s">
        <v>213</v>
      </c>
      <c r="X89" s="8" t="s">
        <v>212</v>
      </c>
      <c r="Y89" s="8" t="s">
        <v>17</v>
      </c>
      <c r="Z89" t="str">
        <f t="shared" si="1"/>
        <v>00000088SI</v>
      </c>
      <c r="AA89" s="11" t="e">
        <f>MATCH(Tabla9[[#This Row],[AUX]],Loockup_ObrasGerencia[[#All],[aux]],0)</f>
        <v>#N/A</v>
      </c>
    </row>
    <row r="90" spans="1:27" x14ac:dyDescent="0.25">
      <c r="A90" s="30" t="s">
        <v>215</v>
      </c>
      <c r="B90" s="30" t="s">
        <v>214</v>
      </c>
      <c r="C90" s="30" t="s">
        <v>17</v>
      </c>
      <c r="D90" s="30" t="str" cm="1">
        <f t="array" ref="D90">UPPER(_xlfn.XLOOKUP(Loockup_ObrasGerencia[[#This Row],[OBRA_PRONTO]],Tabla7[[#All],[Obra]],Tabla7[[#All],[Gerente de obra]],"Sin Obra Asignada",0))</f>
        <v>ORTIZ JUAN MANUEL</v>
      </c>
      <c r="E90" s="31" t="str">
        <f>Loockup_ObrasGerencia[[#This Row],[OBRA_PRONTO]]&amp;Loockup_ObrasGerencia[[#This Row],[GERENCIA]]</f>
        <v>00000089ORTIZ JUAN MANUEL</v>
      </c>
      <c r="H90" t="s">
        <v>218</v>
      </c>
      <c r="I90" t="s">
        <v>219</v>
      </c>
      <c r="J90" t="s">
        <v>52</v>
      </c>
      <c r="K90" t="str">
        <f>Tabla7[[#This Row],[Obra]]&amp;Tabla7[[#This Row],[Gerente de obra]]</f>
        <v>00000091Sanchez Oscar</v>
      </c>
      <c r="L90">
        <f>MATCH(Tabla7[[#This Row],[AUX]],Loockup_ObrasGerencia[[#All],[aux]],0)</f>
        <v>92</v>
      </c>
      <c r="O90" t="str">
        <f>UPPER(GERENCIAS[[#This Row],[Gerente de obra]])</f>
        <v>FRANCISCO DI LISIO</v>
      </c>
      <c r="R90" t="s">
        <v>233</v>
      </c>
      <c r="S90" t="s">
        <v>234</v>
      </c>
      <c r="T90" t="s">
        <v>78</v>
      </c>
      <c r="W90" s="8" t="s">
        <v>215</v>
      </c>
      <c r="X90" s="8" t="s">
        <v>214</v>
      </c>
      <c r="Y90" s="8" t="s">
        <v>17</v>
      </c>
      <c r="Z90" t="str">
        <f t="shared" si="1"/>
        <v>00000089SI</v>
      </c>
      <c r="AA90" s="11" t="e">
        <f>MATCH(Tabla9[[#This Row],[AUX]],Loockup_ObrasGerencia[[#All],[aux]],0)</f>
        <v>#N/A</v>
      </c>
    </row>
    <row r="91" spans="1:27" x14ac:dyDescent="0.25">
      <c r="A91" s="30" t="s">
        <v>217</v>
      </c>
      <c r="B91" s="30" t="s">
        <v>216</v>
      </c>
      <c r="C91" s="30" t="s">
        <v>17</v>
      </c>
      <c r="D91" s="30" t="str" cm="1">
        <f t="array" ref="D91">UPPER(_xlfn.XLOOKUP(Loockup_ObrasGerencia[[#This Row],[OBRA_PRONTO]],Tabla7[[#All],[Obra]],Tabla7[[#All],[Gerente de obra]],"Sin Obra Asignada",0))</f>
        <v>ORTIZ JUAN MANUEL</v>
      </c>
      <c r="E91" s="31" t="str">
        <f>Loockup_ObrasGerencia[[#This Row],[OBRA_PRONTO]]&amp;Loockup_ObrasGerencia[[#This Row],[GERENCIA]]</f>
        <v>00000090ORTIZ JUAN MANUEL</v>
      </c>
      <c r="H91" t="s">
        <v>220</v>
      </c>
      <c r="I91" t="s">
        <v>221</v>
      </c>
      <c r="J91" t="s">
        <v>191</v>
      </c>
      <c r="K91" t="str">
        <f>Tabla7[[#This Row],[Obra]]&amp;Tabla7[[#This Row],[Gerente de obra]]</f>
        <v>00000092Diego Aguirre</v>
      </c>
      <c r="L91">
        <f>MATCH(Tabla7[[#This Row],[AUX]],Loockup_ObrasGerencia[[#All],[aux]],0)</f>
        <v>93</v>
      </c>
      <c r="O91" t="str">
        <f>UPPER(GERENCIAS[[#This Row],[Gerente de obra]])</f>
        <v>DIEGO AGUIRRE</v>
      </c>
      <c r="R91" t="s">
        <v>235</v>
      </c>
      <c r="S91" t="s">
        <v>236</v>
      </c>
      <c r="T91" t="s">
        <v>178</v>
      </c>
      <c r="W91" s="8" t="s">
        <v>217</v>
      </c>
      <c r="X91" s="8" t="s">
        <v>216</v>
      </c>
      <c r="Y91" s="8" t="s">
        <v>17</v>
      </c>
      <c r="Z91" t="str">
        <f t="shared" si="1"/>
        <v>00000090SI</v>
      </c>
      <c r="AA91" s="11" t="e">
        <f>MATCH(Tabla9[[#This Row],[AUX]],Loockup_ObrasGerencia[[#All],[aux]],0)</f>
        <v>#N/A</v>
      </c>
    </row>
    <row r="92" spans="1:27" x14ac:dyDescent="0.25">
      <c r="A92" s="30" t="s">
        <v>219</v>
      </c>
      <c r="B92" s="30" t="s">
        <v>218</v>
      </c>
      <c r="C92" s="30" t="s">
        <v>17</v>
      </c>
      <c r="D92" s="30" t="str" cm="1">
        <f t="array" ref="D92">UPPER(_xlfn.XLOOKUP(Loockup_ObrasGerencia[[#This Row],[OBRA_PRONTO]],Tabla7[[#All],[Obra]],Tabla7[[#All],[Gerente de obra]],"Sin Obra Asignada",0))</f>
        <v>SANCHEZ OSCAR</v>
      </c>
      <c r="E92" s="31" t="str">
        <f>Loockup_ObrasGerencia[[#This Row],[OBRA_PRONTO]]&amp;Loockup_ObrasGerencia[[#This Row],[GERENCIA]]</f>
        <v>00000091SANCHEZ OSCAR</v>
      </c>
      <c r="H92" t="s">
        <v>222</v>
      </c>
      <c r="I92" t="s">
        <v>223</v>
      </c>
      <c r="J92" t="s">
        <v>18</v>
      </c>
      <c r="K92" t="str">
        <f>Tabla7[[#This Row],[Obra]]&amp;Tabla7[[#This Row],[Gerente de obra]]</f>
        <v>00000093Ortiz Juan Manuel</v>
      </c>
      <c r="L92">
        <f>MATCH(Tabla7[[#This Row],[AUX]],Loockup_ObrasGerencia[[#All],[aux]],0)</f>
        <v>94</v>
      </c>
      <c r="O92" t="str">
        <f>UPPER(GERENCIAS[[#This Row],[Gerente de obra]])</f>
        <v>FRANCISCO DI LISIO</v>
      </c>
      <c r="R92" t="s">
        <v>237</v>
      </c>
      <c r="S92" t="s">
        <v>238</v>
      </c>
      <c r="T92" t="s">
        <v>78</v>
      </c>
      <c r="W92" s="8" t="s">
        <v>219</v>
      </c>
      <c r="X92" s="8" t="s">
        <v>218</v>
      </c>
      <c r="Y92" s="8" t="s">
        <v>17</v>
      </c>
      <c r="Z92" t="str">
        <f t="shared" si="1"/>
        <v>00000091SI</v>
      </c>
      <c r="AA92" s="11" t="e">
        <f>MATCH(Tabla9[[#This Row],[AUX]],Loockup_ObrasGerencia[[#All],[aux]],0)</f>
        <v>#N/A</v>
      </c>
    </row>
    <row r="93" spans="1:27" x14ac:dyDescent="0.25">
      <c r="A93" s="30" t="s">
        <v>221</v>
      </c>
      <c r="B93" s="30" t="s">
        <v>220</v>
      </c>
      <c r="C93" s="30" t="s">
        <v>239</v>
      </c>
      <c r="D93" s="30" t="str" cm="1">
        <f t="array" ref="D93">UPPER(_xlfn.XLOOKUP(Loockup_ObrasGerencia[[#This Row],[OBRA_PRONTO]],Tabla7[[#All],[Obra]],Tabla7[[#All],[Gerente de obra]],"Sin Obra Asignada",0))</f>
        <v>DIEGO AGUIRRE</v>
      </c>
      <c r="E93" s="31" t="str">
        <f>Loockup_ObrasGerencia[[#This Row],[OBRA_PRONTO]]&amp;Loockup_ObrasGerencia[[#This Row],[GERENCIA]]</f>
        <v>00000092DIEGO AGUIRRE</v>
      </c>
      <c r="H93" t="s">
        <v>224</v>
      </c>
      <c r="I93" t="s">
        <v>225</v>
      </c>
      <c r="J93" t="s">
        <v>240</v>
      </c>
      <c r="K93" t="str">
        <f>Tabla7[[#This Row],[Obra]]&amp;Tabla7[[#This Row],[Gerente de obra]]</f>
        <v>00000094Fanjul Nicolás</v>
      </c>
      <c r="L93">
        <f>MATCH(Tabla7[[#This Row],[AUX]],Loockup_ObrasGerencia[[#All],[aux]],0)</f>
        <v>95</v>
      </c>
      <c r="O93" t="str">
        <f>UPPER(GERENCIAS[[#This Row],[Gerente de obra]])</f>
        <v>CATRIEL GISELA</v>
      </c>
      <c r="R93" t="s">
        <v>241</v>
      </c>
      <c r="S93" t="s">
        <v>242</v>
      </c>
      <c r="T93" t="s">
        <v>243</v>
      </c>
      <c r="W93" s="8" t="s">
        <v>221</v>
      </c>
      <c r="X93" s="8" t="s">
        <v>220</v>
      </c>
      <c r="Y93" s="8" t="s">
        <v>239</v>
      </c>
      <c r="Z93" t="str">
        <f t="shared" si="1"/>
        <v>00000092COMPENSABLE CAC</v>
      </c>
      <c r="AA93" s="11" t="e">
        <f>MATCH(Tabla9[[#This Row],[AUX]],Loockup_ObrasGerencia[[#All],[aux]],0)</f>
        <v>#N/A</v>
      </c>
    </row>
    <row r="94" spans="1:27" x14ac:dyDescent="0.25">
      <c r="A94" s="30" t="s">
        <v>223</v>
      </c>
      <c r="B94" s="30" t="s">
        <v>222</v>
      </c>
      <c r="C94" s="30" t="s">
        <v>17</v>
      </c>
      <c r="D94" s="30" t="str" cm="1">
        <f t="array" ref="D94">UPPER(_xlfn.XLOOKUP(Loockup_ObrasGerencia[[#This Row],[OBRA_PRONTO]],Tabla7[[#All],[Obra]],Tabla7[[#All],[Gerente de obra]],"Sin Obra Asignada",0))</f>
        <v>ORTIZ JUAN MANUEL</v>
      </c>
      <c r="E94" s="31" t="str">
        <f>Loockup_ObrasGerencia[[#This Row],[OBRA_PRONTO]]&amp;Loockup_ObrasGerencia[[#This Row],[GERENCIA]]</f>
        <v>00000093ORTIZ JUAN MANUEL</v>
      </c>
      <c r="H94" t="s">
        <v>227</v>
      </c>
      <c r="I94" t="s">
        <v>228</v>
      </c>
      <c r="J94" t="s">
        <v>18</v>
      </c>
      <c r="K94" t="str">
        <f>Tabla7[[#This Row],[Obra]]&amp;Tabla7[[#This Row],[Gerente de obra]]</f>
        <v>00000095Ortiz Juan Manuel</v>
      </c>
      <c r="L94">
        <f>MATCH(Tabla7[[#This Row],[AUX]],Loockup_ObrasGerencia[[#All],[aux]],0)</f>
        <v>96</v>
      </c>
      <c r="O94" t="str">
        <f>UPPER(GERENCIAS[[#This Row],[Gerente de obra]])</f>
        <v>BARONE ALBERTO</v>
      </c>
      <c r="R94" t="s">
        <v>244</v>
      </c>
      <c r="S94" t="s">
        <v>245</v>
      </c>
      <c r="T94" t="s">
        <v>132</v>
      </c>
      <c r="W94" s="8" t="s">
        <v>223</v>
      </c>
      <c r="X94" s="8" t="s">
        <v>222</v>
      </c>
      <c r="Y94" s="8" t="s">
        <v>17</v>
      </c>
      <c r="Z94" t="str">
        <f t="shared" si="1"/>
        <v>00000093SI</v>
      </c>
      <c r="AA94" s="11" t="e">
        <f>MATCH(Tabla9[[#This Row],[AUX]],Loockup_ObrasGerencia[[#All],[aux]],0)</f>
        <v>#N/A</v>
      </c>
    </row>
    <row r="95" spans="1:27" x14ac:dyDescent="0.25">
      <c r="A95" s="30" t="s">
        <v>225</v>
      </c>
      <c r="B95" s="30" t="s">
        <v>224</v>
      </c>
      <c r="C95" s="30" t="s">
        <v>246</v>
      </c>
      <c r="D95" s="30" t="str" cm="1">
        <f t="array" ref="D95">UPPER(_xlfn.XLOOKUP(Loockup_ObrasGerencia[[#This Row],[OBRA_PRONTO]],Tabla7[[#All],[Obra]],Tabla7[[#All],[Gerente de obra]],"Sin Obra Asignada",0))</f>
        <v>FANJUL NICOLÁS</v>
      </c>
      <c r="E95" s="31" t="str">
        <f>Loockup_ObrasGerencia[[#This Row],[OBRA_PRONTO]]&amp;Loockup_ObrasGerencia[[#This Row],[GERENCIA]]</f>
        <v>00000094FANJUL NICOLÁS</v>
      </c>
      <c r="H95" t="s">
        <v>229</v>
      </c>
      <c r="I95" t="s">
        <v>230</v>
      </c>
      <c r="J95" t="s">
        <v>141</v>
      </c>
      <c r="K95" t="str">
        <f>Tabla7[[#This Row],[Obra]]&amp;Tabla7[[#This Row],[Gerente de obra]]</f>
        <v>00000096Barone Alberto</v>
      </c>
      <c r="L95">
        <f>MATCH(Tabla7[[#This Row],[AUX]],Loockup_ObrasGerencia[[#All],[aux]],0)</f>
        <v>97</v>
      </c>
      <c r="O95" t="str">
        <f>UPPER(GERENCIAS[[#This Row],[Gerente de obra]])</f>
        <v>CATRIEL GISELA</v>
      </c>
      <c r="R95" t="s">
        <v>247</v>
      </c>
      <c r="S95" t="s">
        <v>248</v>
      </c>
      <c r="T95" t="s">
        <v>243</v>
      </c>
      <c r="W95" s="8" t="s">
        <v>225</v>
      </c>
      <c r="X95" s="8" t="s">
        <v>224</v>
      </c>
      <c r="Y95" s="8" t="s">
        <v>246</v>
      </c>
      <c r="Z95" t="str">
        <f t="shared" si="1"/>
        <v>00000094COMPENSABLE SYGSA</v>
      </c>
      <c r="AA95" s="11" t="e">
        <f>MATCH(Tabla9[[#This Row],[AUX]],Loockup_ObrasGerencia[[#All],[aux]],0)</f>
        <v>#N/A</v>
      </c>
    </row>
    <row r="96" spans="1:27" x14ac:dyDescent="0.25">
      <c r="A96" s="30" t="s">
        <v>228</v>
      </c>
      <c r="B96" s="30" t="s">
        <v>227</v>
      </c>
      <c r="C96" s="30" t="s">
        <v>17</v>
      </c>
      <c r="D96" s="30" t="str" cm="1">
        <f t="array" ref="D96">UPPER(_xlfn.XLOOKUP(Loockup_ObrasGerencia[[#This Row],[OBRA_PRONTO]],Tabla7[[#All],[Obra]],Tabla7[[#All],[Gerente de obra]],"Sin Obra Asignada",0))</f>
        <v>ORTIZ JUAN MANUEL</v>
      </c>
      <c r="E96" s="31" t="str">
        <f>Loockup_ObrasGerencia[[#This Row],[OBRA_PRONTO]]&amp;Loockup_ObrasGerencia[[#This Row],[GERENCIA]]</f>
        <v>00000095ORTIZ JUAN MANUEL</v>
      </c>
      <c r="H96" t="s">
        <v>231</v>
      </c>
      <c r="I96" t="s">
        <v>232</v>
      </c>
      <c r="J96" t="s">
        <v>141</v>
      </c>
      <c r="K96" t="str">
        <f>Tabla7[[#This Row],[Obra]]&amp;Tabla7[[#This Row],[Gerente de obra]]</f>
        <v>00000097Barone Alberto</v>
      </c>
      <c r="L96">
        <f>MATCH(Tabla7[[#This Row],[AUX]],Loockup_ObrasGerencia[[#All],[aux]],0)</f>
        <v>98</v>
      </c>
      <c r="O96" t="str">
        <f>UPPER(GERENCIAS[[#This Row],[Gerente de obra]])</f>
        <v>CATRIEL GISELA</v>
      </c>
      <c r="R96" t="s">
        <v>249</v>
      </c>
      <c r="S96" t="s">
        <v>250</v>
      </c>
      <c r="T96" t="s">
        <v>243</v>
      </c>
      <c r="W96" s="8" t="s">
        <v>228</v>
      </c>
      <c r="X96" s="8" t="s">
        <v>227</v>
      </c>
      <c r="Y96" s="8" t="s">
        <v>17</v>
      </c>
      <c r="Z96" t="str">
        <f t="shared" si="1"/>
        <v>00000095SI</v>
      </c>
      <c r="AA96" s="11" t="e">
        <f>MATCH(Tabla9[[#This Row],[AUX]],Loockup_ObrasGerencia[[#All],[aux]],0)</f>
        <v>#N/A</v>
      </c>
    </row>
    <row r="97" spans="1:27" x14ac:dyDescent="0.25">
      <c r="A97" s="30" t="s">
        <v>230</v>
      </c>
      <c r="B97" s="30" t="s">
        <v>229</v>
      </c>
      <c r="C97" s="30" t="s">
        <v>17</v>
      </c>
      <c r="D97" s="30" t="str" cm="1">
        <f t="array" ref="D97">UPPER(_xlfn.XLOOKUP(Loockup_ObrasGerencia[[#This Row],[OBRA_PRONTO]],Tabla7[[#All],[Obra]],Tabla7[[#All],[Gerente de obra]],"Sin Obra Asignada",0))</f>
        <v>BARONE ALBERTO</v>
      </c>
      <c r="E97" s="31" t="str">
        <f>Loockup_ObrasGerencia[[#This Row],[OBRA_PRONTO]]&amp;Loockup_ObrasGerencia[[#This Row],[GERENCIA]]</f>
        <v>00000096BARONE ALBERTO</v>
      </c>
      <c r="H97" t="s">
        <v>251</v>
      </c>
      <c r="I97" t="s">
        <v>252</v>
      </c>
      <c r="J97" t="s">
        <v>1401</v>
      </c>
      <c r="K97" t="str">
        <f>Tabla7[[#This Row],[Obra]]&amp;Tabla7[[#This Row],[Gerente de obra]]</f>
        <v>00000098SIN ASIGNACION</v>
      </c>
      <c r="L97">
        <f>MATCH(Tabla7[[#This Row],[AUX]],Loockup_ObrasGerencia[[#All],[aux]],0)</f>
        <v>99</v>
      </c>
      <c r="O97" t="str">
        <f>UPPER(GERENCIAS[[#This Row],[Gerente de obra]])</f>
        <v>DIEGO AGUIRRE</v>
      </c>
      <c r="R97" t="s">
        <v>253</v>
      </c>
      <c r="S97" t="s">
        <v>254</v>
      </c>
      <c r="T97" t="s">
        <v>178</v>
      </c>
      <c r="W97" s="8" t="s">
        <v>230</v>
      </c>
      <c r="X97" s="8" t="s">
        <v>229</v>
      </c>
      <c r="Y97" s="8" t="s">
        <v>17</v>
      </c>
      <c r="Z97" t="str">
        <f t="shared" si="1"/>
        <v>00000096SI</v>
      </c>
      <c r="AA97" s="11" t="e">
        <f>MATCH(Tabla9[[#This Row],[AUX]],Loockup_ObrasGerencia[[#All],[aux]],0)</f>
        <v>#N/A</v>
      </c>
    </row>
    <row r="98" spans="1:27" x14ac:dyDescent="0.25">
      <c r="A98" s="30" t="s">
        <v>232</v>
      </c>
      <c r="B98" s="30" t="s">
        <v>231</v>
      </c>
      <c r="C98" s="30" t="s">
        <v>17</v>
      </c>
      <c r="D98" s="30" t="str" cm="1">
        <f t="array" ref="D98">UPPER(_xlfn.XLOOKUP(Loockup_ObrasGerencia[[#This Row],[OBRA_PRONTO]],Tabla7[[#All],[Obra]],Tabla7[[#All],[Gerente de obra]],"Sin Obra Asignada",0))</f>
        <v>BARONE ALBERTO</v>
      </c>
      <c r="E98" s="31" t="str">
        <f>Loockup_ObrasGerencia[[#This Row],[OBRA_PRONTO]]&amp;Loockup_ObrasGerencia[[#This Row],[GERENCIA]]</f>
        <v>00000097BARONE ALBERTO</v>
      </c>
      <c r="H98" t="s">
        <v>255</v>
      </c>
      <c r="I98" t="s">
        <v>256</v>
      </c>
      <c r="J98" t="s">
        <v>1401</v>
      </c>
      <c r="K98" t="str">
        <f>Tabla7[[#This Row],[Obra]]&amp;Tabla7[[#This Row],[Gerente de obra]]</f>
        <v>00000099SIN ASIGNACION</v>
      </c>
      <c r="L98">
        <f>MATCH(Tabla7[[#This Row],[AUX]],Loockup_ObrasGerencia[[#All],[aux]],0)</f>
        <v>100</v>
      </c>
      <c r="O98" t="str">
        <f>UPPER(GERENCIAS[[#This Row],[Gerente de obra]])</f>
        <v>CALDERON JUAN IGNACIO</v>
      </c>
      <c r="R98" t="s">
        <v>257</v>
      </c>
      <c r="S98" t="s">
        <v>258</v>
      </c>
      <c r="T98" t="s">
        <v>35</v>
      </c>
      <c r="W98" s="8" t="s">
        <v>232</v>
      </c>
      <c r="X98" s="8" t="s">
        <v>231</v>
      </c>
      <c r="Y98" s="8" t="s">
        <v>17</v>
      </c>
      <c r="Z98" t="str">
        <f t="shared" si="1"/>
        <v>00000097SI</v>
      </c>
      <c r="AA98" s="11" t="e">
        <f>MATCH(Tabla9[[#This Row],[AUX]],Loockup_ObrasGerencia[[#All],[aux]],0)</f>
        <v>#N/A</v>
      </c>
    </row>
    <row r="99" spans="1:27" x14ac:dyDescent="0.25">
      <c r="A99" s="30" t="s">
        <v>252</v>
      </c>
      <c r="B99" s="30" t="s">
        <v>251</v>
      </c>
      <c r="C99" s="30" t="s">
        <v>17</v>
      </c>
      <c r="D99" s="30" t="str" cm="1">
        <f t="array" ref="D99">UPPER(_xlfn.XLOOKUP(Loockup_ObrasGerencia[[#This Row],[OBRA_PRONTO]],Tabla7[[#All],[Obra]],Tabla7[[#All],[Gerente de obra]],"Sin Obra Asignada",0))</f>
        <v>SIN ASIGNACION</v>
      </c>
      <c r="E99" s="31" t="str">
        <f>Loockup_ObrasGerencia[[#This Row],[OBRA_PRONTO]]&amp;Loockup_ObrasGerencia[[#This Row],[GERENCIA]]</f>
        <v>00000098SIN ASIGNACION</v>
      </c>
      <c r="H99" t="s">
        <v>259</v>
      </c>
      <c r="I99" t="s">
        <v>260</v>
      </c>
      <c r="J99" t="s">
        <v>1401</v>
      </c>
      <c r="K99" t="str">
        <f>Tabla7[[#This Row],[Obra]]&amp;Tabla7[[#This Row],[Gerente de obra]]</f>
        <v>00000100SIN ASIGNACION</v>
      </c>
      <c r="L99">
        <f>MATCH(Tabla7[[#This Row],[AUX]],Loockup_ObrasGerencia[[#All],[aux]],0)</f>
        <v>101</v>
      </c>
      <c r="O99" t="str">
        <f>UPPER(GERENCIAS[[#This Row],[Gerente de obra]])</f>
        <v>CALDERON JUAN IGNACIO</v>
      </c>
      <c r="R99" t="s">
        <v>261</v>
      </c>
      <c r="S99" t="s">
        <v>262</v>
      </c>
      <c r="T99" t="s">
        <v>35</v>
      </c>
      <c r="W99" s="8" t="s">
        <v>252</v>
      </c>
      <c r="X99" s="8" t="s">
        <v>251</v>
      </c>
      <c r="Y99" s="8" t="s">
        <v>17</v>
      </c>
      <c r="Z99" t="str">
        <f t="shared" si="1"/>
        <v>00000098SI</v>
      </c>
      <c r="AA99" s="11" t="e">
        <f>MATCH(Tabla9[[#This Row],[AUX]],Loockup_ObrasGerencia[[#All],[aux]],0)</f>
        <v>#N/A</v>
      </c>
    </row>
    <row r="100" spans="1:27" x14ac:dyDescent="0.25">
      <c r="A100" s="30" t="s">
        <v>256</v>
      </c>
      <c r="B100" s="30" t="s">
        <v>255</v>
      </c>
      <c r="C100" s="30" t="s">
        <v>17</v>
      </c>
      <c r="D100" s="30" t="str" cm="1">
        <f t="array" ref="D100">UPPER(_xlfn.XLOOKUP(Loockup_ObrasGerencia[[#This Row],[OBRA_PRONTO]],Tabla7[[#All],[Obra]],Tabla7[[#All],[Gerente de obra]],"Sin Obra Asignada",0))</f>
        <v>SIN ASIGNACION</v>
      </c>
      <c r="E100" s="31" t="str">
        <f>Loockup_ObrasGerencia[[#This Row],[OBRA_PRONTO]]&amp;Loockup_ObrasGerencia[[#This Row],[GERENCIA]]</f>
        <v>00000099SIN ASIGNACION</v>
      </c>
      <c r="H100" t="s">
        <v>233</v>
      </c>
      <c r="I100" t="s">
        <v>234</v>
      </c>
      <c r="J100" t="s">
        <v>79</v>
      </c>
      <c r="K100" t="str">
        <f>Tabla7[[#This Row],[Obra]]&amp;Tabla7[[#This Row],[Gerente de obra]]</f>
        <v>00000101Francisco Di Lisio</v>
      </c>
      <c r="L100">
        <f>MATCH(Tabla7[[#This Row],[AUX]],Loockup_ObrasGerencia[[#All],[aux]],0)</f>
        <v>102</v>
      </c>
      <c r="O100" t="str">
        <f>UPPER(GERENCIAS[[#This Row],[Gerente de obra]])</f>
        <v>CALDERON JUAN IGNACIO</v>
      </c>
      <c r="R100" t="s">
        <v>263</v>
      </c>
      <c r="S100" t="s">
        <v>264</v>
      </c>
      <c r="T100" t="s">
        <v>35</v>
      </c>
      <c r="W100" s="8" t="s">
        <v>256</v>
      </c>
      <c r="X100" s="8" t="s">
        <v>255</v>
      </c>
      <c r="Y100" s="8" t="s">
        <v>17</v>
      </c>
      <c r="Z100" t="str">
        <f t="shared" si="1"/>
        <v>00000099SI</v>
      </c>
      <c r="AA100" s="11" t="e">
        <f>MATCH(Tabla9[[#This Row],[AUX]],Loockup_ObrasGerencia[[#All],[aux]],0)</f>
        <v>#N/A</v>
      </c>
    </row>
    <row r="101" spans="1:27" x14ac:dyDescent="0.25">
      <c r="A101" s="30" t="s">
        <v>260</v>
      </c>
      <c r="B101" s="30" t="s">
        <v>259</v>
      </c>
      <c r="C101" s="30" t="s">
        <v>17</v>
      </c>
      <c r="D101" s="30" t="str" cm="1">
        <f t="array" ref="D101">UPPER(_xlfn.XLOOKUP(Loockup_ObrasGerencia[[#This Row],[OBRA_PRONTO]],Tabla7[[#All],[Obra]],Tabla7[[#All],[Gerente de obra]],"Sin Obra Asignada",0))</f>
        <v>SIN ASIGNACION</v>
      </c>
      <c r="E101" s="31" t="str">
        <f>Loockup_ObrasGerencia[[#This Row],[OBRA_PRONTO]]&amp;Loockup_ObrasGerencia[[#This Row],[GERENCIA]]</f>
        <v>00000100SIN ASIGNACION</v>
      </c>
      <c r="H101" t="s">
        <v>235</v>
      </c>
      <c r="I101" t="s">
        <v>236</v>
      </c>
      <c r="J101" t="s">
        <v>191</v>
      </c>
      <c r="K101" t="str">
        <f>Tabla7[[#This Row],[Obra]]&amp;Tabla7[[#This Row],[Gerente de obra]]</f>
        <v>00000102Diego Aguirre</v>
      </c>
      <c r="L101">
        <f>MATCH(Tabla7[[#This Row],[AUX]],Loockup_ObrasGerencia[[#All],[aux]],0)</f>
        <v>103</v>
      </c>
      <c r="O101" t="str">
        <f>UPPER(GERENCIAS[[#This Row],[Gerente de obra]])</f>
        <v>CATRIEL GISELA</v>
      </c>
      <c r="R101" t="s">
        <v>265</v>
      </c>
      <c r="S101" t="s">
        <v>266</v>
      </c>
      <c r="T101" t="s">
        <v>243</v>
      </c>
      <c r="W101" s="8" t="s">
        <v>260</v>
      </c>
      <c r="X101" s="8" t="s">
        <v>259</v>
      </c>
      <c r="Y101" s="8" t="s">
        <v>17</v>
      </c>
      <c r="Z101" t="str">
        <f t="shared" si="1"/>
        <v>00000100SI</v>
      </c>
      <c r="AA101" s="11" t="e">
        <f>MATCH(Tabla9[[#This Row],[AUX]],Loockup_ObrasGerencia[[#All],[aux]],0)</f>
        <v>#N/A</v>
      </c>
    </row>
    <row r="102" spans="1:27" x14ac:dyDescent="0.25">
      <c r="A102" s="30" t="s">
        <v>234</v>
      </c>
      <c r="B102" s="30" t="s">
        <v>233</v>
      </c>
      <c r="C102" s="30" t="s">
        <v>267</v>
      </c>
      <c r="D102" s="30" t="str" cm="1">
        <f t="array" ref="D102">UPPER(_xlfn.XLOOKUP(Loockup_ObrasGerencia[[#This Row],[OBRA_PRONTO]],Tabla7[[#All],[Obra]],Tabla7[[#All],[Gerente de obra]],"Sin Obra Asignada",0))</f>
        <v>FRANCISCO DI LISIO</v>
      </c>
      <c r="E102" s="31" t="str">
        <f>Loockup_ObrasGerencia[[#This Row],[OBRA_PRONTO]]&amp;Loockup_ObrasGerencia[[#This Row],[GERENCIA]]</f>
        <v>00000101FRANCISCO DI LISIO</v>
      </c>
      <c r="H102" t="s">
        <v>237</v>
      </c>
      <c r="I102" t="s">
        <v>238</v>
      </c>
      <c r="J102" t="s">
        <v>79</v>
      </c>
      <c r="K102" t="str">
        <f>Tabla7[[#This Row],[Obra]]&amp;Tabla7[[#This Row],[Gerente de obra]]</f>
        <v>00000103Francisco Di Lisio</v>
      </c>
      <c r="L102">
        <f>MATCH(Tabla7[[#This Row],[AUX]],Loockup_ObrasGerencia[[#All],[aux]],0)</f>
        <v>104</v>
      </c>
      <c r="O102" t="str">
        <f>UPPER(GERENCIAS[[#This Row],[Gerente de obra]])</f>
        <v>ORTIZ JUAN MANUEL</v>
      </c>
      <c r="R102" t="s">
        <v>268</v>
      </c>
      <c r="S102" t="s">
        <v>269</v>
      </c>
      <c r="T102" t="s">
        <v>19</v>
      </c>
      <c r="W102" s="8" t="s">
        <v>234</v>
      </c>
      <c r="X102" s="8" t="s">
        <v>233</v>
      </c>
      <c r="Y102" s="8" t="s">
        <v>270</v>
      </c>
      <c r="Z102" t="str">
        <f t="shared" si="1"/>
        <v>00000101ACTIVOS</v>
      </c>
      <c r="AA102" s="11" t="e">
        <f>MATCH(Tabla9[[#This Row],[AUX]],Loockup_ObrasGerencia[[#All],[aux]],0)</f>
        <v>#N/A</v>
      </c>
    </row>
    <row r="103" spans="1:27" x14ac:dyDescent="0.25">
      <c r="A103" s="30" t="s">
        <v>236</v>
      </c>
      <c r="B103" s="30" t="s">
        <v>235</v>
      </c>
      <c r="C103" s="30" t="s">
        <v>239</v>
      </c>
      <c r="D103" s="30" t="str" cm="1">
        <f t="array" ref="D103">UPPER(_xlfn.XLOOKUP(Loockup_ObrasGerencia[[#This Row],[OBRA_PRONTO]],Tabla7[[#All],[Obra]],Tabla7[[#All],[Gerente de obra]],"Sin Obra Asignada",0))</f>
        <v>DIEGO AGUIRRE</v>
      </c>
      <c r="E103" s="31" t="str">
        <f>Loockup_ObrasGerencia[[#This Row],[OBRA_PRONTO]]&amp;Loockup_ObrasGerencia[[#This Row],[GERENCIA]]</f>
        <v>00000102DIEGO AGUIRRE</v>
      </c>
      <c r="H103" t="s">
        <v>241</v>
      </c>
      <c r="I103" t="s">
        <v>242</v>
      </c>
      <c r="J103" t="s">
        <v>271</v>
      </c>
      <c r="K103" t="str">
        <f>Tabla7[[#This Row],[Obra]]&amp;Tabla7[[#This Row],[Gerente de obra]]</f>
        <v>00000104Catriel Gisela</v>
      </c>
      <c r="L103">
        <f>MATCH(Tabla7[[#This Row],[AUX]],Loockup_ObrasGerencia[[#All],[aux]],0)</f>
        <v>105</v>
      </c>
      <c r="O103" t="str">
        <f>UPPER(GERENCIAS[[#This Row],[Gerente de obra]])</f>
        <v>CATRIEL GISELA</v>
      </c>
      <c r="R103" t="s">
        <v>272</v>
      </c>
      <c r="S103" t="s">
        <v>273</v>
      </c>
      <c r="T103" t="s">
        <v>243</v>
      </c>
      <c r="W103" s="8" t="s">
        <v>236</v>
      </c>
      <c r="X103" s="8" t="s">
        <v>235</v>
      </c>
      <c r="Y103" s="8" t="s">
        <v>239</v>
      </c>
      <c r="Z103" t="str">
        <f t="shared" si="1"/>
        <v>00000102COMPENSABLE CAC</v>
      </c>
      <c r="AA103" s="11" t="e">
        <f>MATCH(Tabla9[[#This Row],[AUX]],Loockup_ObrasGerencia[[#All],[aux]],0)</f>
        <v>#N/A</v>
      </c>
    </row>
    <row r="104" spans="1:27" x14ac:dyDescent="0.25">
      <c r="A104" s="30" t="s">
        <v>238</v>
      </c>
      <c r="B104" s="30" t="s">
        <v>237</v>
      </c>
      <c r="C104" s="30" t="s">
        <v>17</v>
      </c>
      <c r="D104" s="30" t="str" cm="1">
        <f t="array" ref="D104">UPPER(_xlfn.XLOOKUP(Loockup_ObrasGerencia[[#This Row],[OBRA_PRONTO]],Tabla7[[#All],[Obra]],Tabla7[[#All],[Gerente de obra]],"Sin Obra Asignada",0))</f>
        <v>FRANCISCO DI LISIO</v>
      </c>
      <c r="E104" s="31" t="str">
        <f>Loockup_ObrasGerencia[[#This Row],[OBRA_PRONTO]]&amp;Loockup_ObrasGerencia[[#This Row],[GERENCIA]]</f>
        <v>00000103FRANCISCO DI LISIO</v>
      </c>
      <c r="H104" t="s">
        <v>244</v>
      </c>
      <c r="I104" t="s">
        <v>245</v>
      </c>
      <c r="J104" t="s">
        <v>141</v>
      </c>
      <c r="K104" t="str">
        <f>Tabla7[[#This Row],[Obra]]&amp;Tabla7[[#This Row],[Gerente de obra]]</f>
        <v>00000105Barone Alberto</v>
      </c>
      <c r="L104">
        <f>MATCH(Tabla7[[#This Row],[AUX]],Loockup_ObrasGerencia[[#All],[aux]],0)</f>
        <v>106</v>
      </c>
      <c r="O104" t="str">
        <f>UPPER(GERENCIAS[[#This Row],[Gerente de obra]])</f>
        <v>CATRIEL GISELA</v>
      </c>
      <c r="R104" t="s">
        <v>274</v>
      </c>
      <c r="S104" t="s">
        <v>275</v>
      </c>
      <c r="T104" t="s">
        <v>243</v>
      </c>
      <c r="W104" s="8" t="s">
        <v>238</v>
      </c>
      <c r="X104" s="8" t="s">
        <v>237</v>
      </c>
      <c r="Y104" s="8" t="s">
        <v>17</v>
      </c>
      <c r="Z104" t="str">
        <f t="shared" si="1"/>
        <v>00000103SI</v>
      </c>
      <c r="AA104" s="11" t="e">
        <f>MATCH(Tabla9[[#This Row],[AUX]],Loockup_ObrasGerencia[[#All],[aux]],0)</f>
        <v>#N/A</v>
      </c>
    </row>
    <row r="105" spans="1:27" x14ac:dyDescent="0.25">
      <c r="A105" s="30" t="s">
        <v>242</v>
      </c>
      <c r="B105" s="30" t="s">
        <v>241</v>
      </c>
      <c r="C105" s="30" t="s">
        <v>17</v>
      </c>
      <c r="D105" s="30" t="str" cm="1">
        <f t="array" ref="D105">UPPER(_xlfn.XLOOKUP(Loockup_ObrasGerencia[[#This Row],[OBRA_PRONTO]],Tabla7[[#All],[Obra]],Tabla7[[#All],[Gerente de obra]],"Sin Obra Asignada",0))</f>
        <v>CATRIEL GISELA</v>
      </c>
      <c r="E105" s="31" t="str">
        <f>Loockup_ObrasGerencia[[#This Row],[OBRA_PRONTO]]&amp;Loockup_ObrasGerencia[[#This Row],[GERENCIA]]</f>
        <v>00000104CATRIEL GISELA</v>
      </c>
      <c r="H105" t="s">
        <v>247</v>
      </c>
      <c r="I105" t="s">
        <v>248</v>
      </c>
      <c r="J105" t="s">
        <v>271</v>
      </c>
      <c r="K105" t="str">
        <f>Tabla7[[#This Row],[Obra]]&amp;Tabla7[[#This Row],[Gerente de obra]]</f>
        <v>00000106Catriel Gisela</v>
      </c>
      <c r="L105">
        <f>MATCH(Tabla7[[#This Row],[AUX]],Loockup_ObrasGerencia[[#All],[aux]],0)</f>
        <v>107</v>
      </c>
      <c r="O105" t="str">
        <f>UPPER(GERENCIAS[[#This Row],[Gerente de obra]])</f>
        <v>CATRIEL GISELA</v>
      </c>
      <c r="R105" t="s">
        <v>276</v>
      </c>
      <c r="S105" t="s">
        <v>277</v>
      </c>
      <c r="T105" t="s">
        <v>243</v>
      </c>
      <c r="W105" s="8" t="s">
        <v>242</v>
      </c>
      <c r="X105" s="8" t="s">
        <v>241</v>
      </c>
      <c r="Y105" s="8" t="s">
        <v>17</v>
      </c>
      <c r="Z105" t="str">
        <f t="shared" si="1"/>
        <v>00000104SI</v>
      </c>
      <c r="AA105" s="11" t="e">
        <f>MATCH(Tabla9[[#This Row],[AUX]],Loockup_ObrasGerencia[[#All],[aux]],0)</f>
        <v>#N/A</v>
      </c>
    </row>
    <row r="106" spans="1:27" x14ac:dyDescent="0.25">
      <c r="A106" s="30" t="s">
        <v>245</v>
      </c>
      <c r="B106" s="30" t="s">
        <v>244</v>
      </c>
      <c r="C106" s="30" t="s">
        <v>17</v>
      </c>
      <c r="D106" s="30" t="str" cm="1">
        <f t="array" ref="D106">UPPER(_xlfn.XLOOKUP(Loockup_ObrasGerencia[[#This Row],[OBRA_PRONTO]],Tabla7[[#All],[Obra]],Tabla7[[#All],[Gerente de obra]],"Sin Obra Asignada",0))</f>
        <v>BARONE ALBERTO</v>
      </c>
      <c r="E106" s="31" t="str">
        <f>Loockup_ObrasGerencia[[#This Row],[OBRA_PRONTO]]&amp;Loockup_ObrasGerencia[[#This Row],[GERENCIA]]</f>
        <v>00000105BARONE ALBERTO</v>
      </c>
      <c r="H106" t="s">
        <v>249</v>
      </c>
      <c r="I106" t="s">
        <v>250</v>
      </c>
      <c r="J106" t="s">
        <v>271</v>
      </c>
      <c r="K106" t="str">
        <f>Tabla7[[#This Row],[Obra]]&amp;Tabla7[[#This Row],[Gerente de obra]]</f>
        <v>00000107Catriel Gisela</v>
      </c>
      <c r="L106">
        <f>MATCH(Tabla7[[#This Row],[AUX]],Loockup_ObrasGerencia[[#All],[aux]],0)</f>
        <v>108</v>
      </c>
      <c r="O106" t="str">
        <f>UPPER(GERENCIAS[[#This Row],[Gerente de obra]])</f>
        <v>ORTIZ JUAN MANUEL</v>
      </c>
      <c r="R106" t="s">
        <v>278</v>
      </c>
      <c r="S106" t="s">
        <v>279</v>
      </c>
      <c r="T106" t="s">
        <v>19</v>
      </c>
      <c r="W106" s="8" t="s">
        <v>245</v>
      </c>
      <c r="X106" s="8" t="s">
        <v>244</v>
      </c>
      <c r="Y106" s="8" t="s">
        <v>17</v>
      </c>
      <c r="Z106" t="str">
        <f t="shared" si="1"/>
        <v>00000105SI</v>
      </c>
      <c r="AA106" s="11" t="e">
        <f>MATCH(Tabla9[[#This Row],[AUX]],Loockup_ObrasGerencia[[#All],[aux]],0)</f>
        <v>#N/A</v>
      </c>
    </row>
    <row r="107" spans="1:27" x14ac:dyDescent="0.25">
      <c r="A107" s="30" t="s">
        <v>248</v>
      </c>
      <c r="B107" s="30" t="s">
        <v>247</v>
      </c>
      <c r="C107" s="30" t="s">
        <v>17</v>
      </c>
      <c r="D107" s="30" t="str" cm="1">
        <f t="array" ref="D107">UPPER(_xlfn.XLOOKUP(Loockup_ObrasGerencia[[#This Row],[OBRA_PRONTO]],Tabla7[[#All],[Obra]],Tabla7[[#All],[Gerente de obra]],"Sin Obra Asignada",0))</f>
        <v>CATRIEL GISELA</v>
      </c>
      <c r="E107" s="31" t="str">
        <f>Loockup_ObrasGerencia[[#This Row],[OBRA_PRONTO]]&amp;Loockup_ObrasGerencia[[#This Row],[GERENCIA]]</f>
        <v>00000106CATRIEL GISELA</v>
      </c>
      <c r="H107" t="s">
        <v>253</v>
      </c>
      <c r="I107" t="s">
        <v>254</v>
      </c>
      <c r="J107" t="s">
        <v>191</v>
      </c>
      <c r="K107" t="str">
        <f>Tabla7[[#This Row],[Obra]]&amp;Tabla7[[#This Row],[Gerente de obra]]</f>
        <v>00000108Diego Aguirre</v>
      </c>
      <c r="L107">
        <f>MATCH(Tabla7[[#This Row],[AUX]],Loockup_ObrasGerencia[[#All],[aux]],0)</f>
        <v>109</v>
      </c>
      <c r="O107" t="str">
        <f>UPPER(GERENCIAS[[#This Row],[Gerente de obra]])</f>
        <v>CATRIEL GISELA</v>
      </c>
      <c r="R107" t="s">
        <v>280</v>
      </c>
      <c r="S107" t="s">
        <v>281</v>
      </c>
      <c r="T107" t="s">
        <v>243</v>
      </c>
      <c r="W107" s="8" t="s">
        <v>248</v>
      </c>
      <c r="X107" s="8" t="s">
        <v>247</v>
      </c>
      <c r="Y107" s="8" t="s">
        <v>17</v>
      </c>
      <c r="Z107" t="str">
        <f t="shared" si="1"/>
        <v>00000106SI</v>
      </c>
      <c r="AA107" s="11" t="e">
        <f>MATCH(Tabla9[[#This Row],[AUX]],Loockup_ObrasGerencia[[#All],[aux]],0)</f>
        <v>#N/A</v>
      </c>
    </row>
    <row r="108" spans="1:27" x14ac:dyDescent="0.25">
      <c r="A108" s="30" t="s">
        <v>250</v>
      </c>
      <c r="B108" s="30" t="s">
        <v>249</v>
      </c>
      <c r="C108" s="30" t="s">
        <v>17</v>
      </c>
      <c r="D108" s="30" t="str" cm="1">
        <f t="array" ref="D108">UPPER(_xlfn.XLOOKUP(Loockup_ObrasGerencia[[#This Row],[OBRA_PRONTO]],Tabla7[[#All],[Obra]],Tabla7[[#All],[Gerente de obra]],"Sin Obra Asignada",0))</f>
        <v>CATRIEL GISELA</v>
      </c>
      <c r="E108" s="31" t="str">
        <f>Loockup_ObrasGerencia[[#This Row],[OBRA_PRONTO]]&amp;Loockup_ObrasGerencia[[#This Row],[GERENCIA]]</f>
        <v>00000107CATRIEL GISELA</v>
      </c>
      <c r="H108" t="s">
        <v>257</v>
      </c>
      <c r="I108" t="s">
        <v>258</v>
      </c>
      <c r="J108" t="s">
        <v>34</v>
      </c>
      <c r="K108" t="str">
        <f>Tabla7[[#This Row],[Obra]]&amp;Tabla7[[#This Row],[Gerente de obra]]</f>
        <v>00000109Calderon Juan Ignacio</v>
      </c>
      <c r="L108">
        <f>MATCH(Tabla7[[#This Row],[AUX]],Loockup_ObrasGerencia[[#All],[aux]],0)</f>
        <v>110</v>
      </c>
      <c r="O108" t="str">
        <f>UPPER(GERENCIAS[[#This Row],[Gerente de obra]])</f>
        <v>ORTIZ JUAN MANUEL</v>
      </c>
      <c r="R108" t="s">
        <v>282</v>
      </c>
      <c r="S108" t="s">
        <v>283</v>
      </c>
      <c r="T108" t="s">
        <v>19</v>
      </c>
      <c r="W108" s="8" t="s">
        <v>250</v>
      </c>
      <c r="X108" s="8" t="s">
        <v>249</v>
      </c>
      <c r="Y108" s="8" t="s">
        <v>17</v>
      </c>
      <c r="Z108" t="str">
        <f t="shared" si="1"/>
        <v>00000107SI</v>
      </c>
      <c r="AA108" s="11" t="e">
        <f>MATCH(Tabla9[[#This Row],[AUX]],Loockup_ObrasGerencia[[#All],[aux]],0)</f>
        <v>#N/A</v>
      </c>
    </row>
    <row r="109" spans="1:27" x14ac:dyDescent="0.25">
      <c r="A109" s="30" t="s">
        <v>254</v>
      </c>
      <c r="B109" s="30" t="s">
        <v>253</v>
      </c>
      <c r="C109" s="30" t="s">
        <v>284</v>
      </c>
      <c r="D109" s="30" t="str" cm="1">
        <f t="array" ref="D109">UPPER(_xlfn.XLOOKUP(Loockup_ObrasGerencia[[#This Row],[OBRA_PRONTO]],Tabla7[[#All],[Obra]],Tabla7[[#All],[Gerente de obra]],"Sin Obra Asignada",0))</f>
        <v>DIEGO AGUIRRE</v>
      </c>
      <c r="E109" s="31" t="str">
        <f>Loockup_ObrasGerencia[[#This Row],[OBRA_PRONTO]]&amp;Loockup_ObrasGerencia[[#This Row],[GERENCIA]]</f>
        <v>00000108DIEGO AGUIRRE</v>
      </c>
      <c r="H109" t="s">
        <v>261</v>
      </c>
      <c r="I109" t="s">
        <v>262</v>
      </c>
      <c r="J109" t="s">
        <v>34</v>
      </c>
      <c r="K109" t="str">
        <f>Tabla7[[#This Row],[Obra]]&amp;Tabla7[[#This Row],[Gerente de obra]]</f>
        <v>00000110Calderon Juan Ignacio</v>
      </c>
      <c r="L109">
        <f>MATCH(Tabla7[[#This Row],[AUX]],Loockup_ObrasGerencia[[#All],[aux]],0)</f>
        <v>111</v>
      </c>
      <c r="O109" t="str">
        <f>UPPER(GERENCIAS[[#This Row],[Gerente de obra]])</f>
        <v>ORTIZ JUAN MANUEL</v>
      </c>
      <c r="R109" t="s">
        <v>285</v>
      </c>
      <c r="S109" t="s">
        <v>286</v>
      </c>
      <c r="T109" t="s">
        <v>19</v>
      </c>
      <c r="W109" s="8" t="s">
        <v>254</v>
      </c>
      <c r="X109" s="8" t="s">
        <v>253</v>
      </c>
      <c r="Y109" s="8" t="s">
        <v>284</v>
      </c>
      <c r="Z109" t="str">
        <f t="shared" si="1"/>
        <v>00000108CAC</v>
      </c>
      <c r="AA109" s="11" t="e">
        <f>MATCH(Tabla9[[#This Row],[AUX]],Loockup_ObrasGerencia[[#All],[aux]],0)</f>
        <v>#N/A</v>
      </c>
    </row>
    <row r="110" spans="1:27" x14ac:dyDescent="0.25">
      <c r="A110" s="30" t="s">
        <v>258</v>
      </c>
      <c r="B110" s="30" t="s">
        <v>257</v>
      </c>
      <c r="C110" s="30" t="s">
        <v>287</v>
      </c>
      <c r="D110" s="30" t="str" cm="1">
        <f t="array" ref="D110">UPPER(_xlfn.XLOOKUP(Loockup_ObrasGerencia[[#This Row],[OBRA_PRONTO]],Tabla7[[#All],[Obra]],Tabla7[[#All],[Gerente de obra]],"Sin Obra Asignada",0))</f>
        <v>CALDERON JUAN IGNACIO</v>
      </c>
      <c r="E110" s="31" t="str">
        <f>Loockup_ObrasGerencia[[#This Row],[OBRA_PRONTO]]&amp;Loockup_ObrasGerencia[[#This Row],[GERENCIA]]</f>
        <v>00000109CALDERON JUAN IGNACIO</v>
      </c>
      <c r="H110" t="s">
        <v>263</v>
      </c>
      <c r="I110" t="s">
        <v>264</v>
      </c>
      <c r="J110" t="s">
        <v>34</v>
      </c>
      <c r="K110" t="str">
        <f>Tabla7[[#This Row],[Obra]]&amp;Tabla7[[#This Row],[Gerente de obra]]</f>
        <v>00000111Calderon Juan Ignacio</v>
      </c>
      <c r="L110">
        <f>MATCH(Tabla7[[#This Row],[AUX]],Loockup_ObrasGerencia[[#All],[aux]],0)</f>
        <v>112</v>
      </c>
      <c r="O110" t="str">
        <f>UPPER(GERENCIAS[[#This Row],[Gerente de obra]])</f>
        <v>ORTIZ JUAN MANUEL</v>
      </c>
      <c r="R110" t="s">
        <v>288</v>
      </c>
      <c r="S110" t="s">
        <v>289</v>
      </c>
      <c r="T110" t="s">
        <v>19</v>
      </c>
      <c r="W110" s="8" t="s">
        <v>258</v>
      </c>
      <c r="X110" s="8" t="s">
        <v>257</v>
      </c>
      <c r="Y110" s="8" t="s">
        <v>287</v>
      </c>
      <c r="Z110" t="str">
        <f t="shared" si="1"/>
        <v>00000109COMPENSABLE WORK PROJECTS</v>
      </c>
      <c r="AA110" s="11" t="e">
        <f>MATCH(Tabla9[[#This Row],[AUX]],Loockup_ObrasGerencia[[#All],[aux]],0)</f>
        <v>#N/A</v>
      </c>
    </row>
    <row r="111" spans="1:27" x14ac:dyDescent="0.25">
      <c r="A111" s="30" t="s">
        <v>262</v>
      </c>
      <c r="B111" s="30" t="s">
        <v>261</v>
      </c>
      <c r="C111" s="30" t="s">
        <v>287</v>
      </c>
      <c r="D111" s="30" t="str" cm="1">
        <f t="array" ref="D111">UPPER(_xlfn.XLOOKUP(Loockup_ObrasGerencia[[#This Row],[OBRA_PRONTO]],Tabla7[[#All],[Obra]],Tabla7[[#All],[Gerente de obra]],"Sin Obra Asignada",0))</f>
        <v>CALDERON JUAN IGNACIO</v>
      </c>
      <c r="E111" s="31" t="str">
        <f>Loockup_ObrasGerencia[[#This Row],[OBRA_PRONTO]]&amp;Loockup_ObrasGerencia[[#This Row],[GERENCIA]]</f>
        <v>00000110CALDERON JUAN IGNACIO</v>
      </c>
      <c r="H111" t="s">
        <v>265</v>
      </c>
      <c r="I111" t="s">
        <v>266</v>
      </c>
      <c r="J111" t="s">
        <v>271</v>
      </c>
      <c r="K111" t="str">
        <f>Tabla7[[#This Row],[Obra]]&amp;Tabla7[[#This Row],[Gerente de obra]]</f>
        <v>00000112Catriel Gisela</v>
      </c>
      <c r="L111">
        <f>MATCH(Tabla7[[#This Row],[AUX]],Loockup_ObrasGerencia[[#All],[aux]],0)</f>
        <v>113</v>
      </c>
      <c r="O111" t="str">
        <f>UPPER(GERENCIAS[[#This Row],[Gerente de obra]])</f>
        <v>CATRIEL GISELA</v>
      </c>
      <c r="R111" t="s">
        <v>290</v>
      </c>
      <c r="S111" t="s">
        <v>291</v>
      </c>
      <c r="T111" t="s">
        <v>243</v>
      </c>
      <c r="W111" s="8" t="s">
        <v>262</v>
      </c>
      <c r="X111" s="8" t="s">
        <v>261</v>
      </c>
      <c r="Y111" s="8" t="s">
        <v>287</v>
      </c>
      <c r="Z111" t="str">
        <f t="shared" si="1"/>
        <v>00000110COMPENSABLE WORK PROJECTS</v>
      </c>
      <c r="AA111" s="11" t="e">
        <f>MATCH(Tabla9[[#This Row],[AUX]],Loockup_ObrasGerencia[[#All],[aux]],0)</f>
        <v>#N/A</v>
      </c>
    </row>
    <row r="112" spans="1:27" x14ac:dyDescent="0.25">
      <c r="A112" s="30" t="s">
        <v>264</v>
      </c>
      <c r="B112" s="30" t="s">
        <v>263</v>
      </c>
      <c r="C112" s="30" t="s">
        <v>287</v>
      </c>
      <c r="D112" s="30" t="str" cm="1">
        <f t="array" ref="D112">UPPER(_xlfn.XLOOKUP(Loockup_ObrasGerencia[[#This Row],[OBRA_PRONTO]],Tabla7[[#All],[Obra]],Tabla7[[#All],[Gerente de obra]],"Sin Obra Asignada",0))</f>
        <v>CALDERON JUAN IGNACIO</v>
      </c>
      <c r="E112" s="31" t="str">
        <f>Loockup_ObrasGerencia[[#This Row],[OBRA_PRONTO]]&amp;Loockup_ObrasGerencia[[#This Row],[GERENCIA]]</f>
        <v>00000111CALDERON JUAN IGNACIO</v>
      </c>
      <c r="H112" t="s">
        <v>268</v>
      </c>
      <c r="I112" t="s">
        <v>269</v>
      </c>
      <c r="J112" t="s">
        <v>18</v>
      </c>
      <c r="K112" t="str">
        <f>Tabla7[[#This Row],[Obra]]&amp;Tabla7[[#This Row],[Gerente de obra]]</f>
        <v>00000113Ortiz Juan Manuel</v>
      </c>
      <c r="L112">
        <f>MATCH(Tabla7[[#This Row],[AUX]],Loockup_ObrasGerencia[[#All],[aux]],0)</f>
        <v>114</v>
      </c>
      <c r="O112" t="str">
        <f>UPPER(GERENCIAS[[#This Row],[Gerente de obra]])</f>
        <v>FRANCISCO DI LISIO</v>
      </c>
      <c r="R112" t="s">
        <v>292</v>
      </c>
      <c r="S112" t="s">
        <v>293</v>
      </c>
      <c r="T112" t="s">
        <v>78</v>
      </c>
      <c r="W112" s="8" t="s">
        <v>264</v>
      </c>
      <c r="X112" s="8" t="s">
        <v>263</v>
      </c>
      <c r="Y112" s="8" t="s">
        <v>287</v>
      </c>
      <c r="Z112" t="str">
        <f t="shared" si="1"/>
        <v>00000111COMPENSABLE WORK PROJECTS</v>
      </c>
      <c r="AA112" s="11" t="e">
        <f>MATCH(Tabla9[[#This Row],[AUX]],Loockup_ObrasGerencia[[#All],[aux]],0)</f>
        <v>#N/A</v>
      </c>
    </row>
    <row r="113" spans="1:27" x14ac:dyDescent="0.25">
      <c r="A113" s="30" t="s">
        <v>266</v>
      </c>
      <c r="B113" s="30" t="s">
        <v>265</v>
      </c>
      <c r="C113" s="30" t="s">
        <v>17</v>
      </c>
      <c r="D113" s="30" t="str" cm="1">
        <f t="array" ref="D113">UPPER(_xlfn.XLOOKUP(Loockup_ObrasGerencia[[#This Row],[OBRA_PRONTO]],Tabla7[[#All],[Obra]],Tabla7[[#All],[Gerente de obra]],"Sin Obra Asignada",0))</f>
        <v>CATRIEL GISELA</v>
      </c>
      <c r="E113" s="31" t="str">
        <f>Loockup_ObrasGerencia[[#This Row],[OBRA_PRONTO]]&amp;Loockup_ObrasGerencia[[#This Row],[GERENCIA]]</f>
        <v>00000112CATRIEL GISELA</v>
      </c>
      <c r="H113" t="s">
        <v>294</v>
      </c>
      <c r="I113" t="s">
        <v>295</v>
      </c>
      <c r="J113" t="s">
        <v>1401</v>
      </c>
      <c r="K113" t="str">
        <f>Tabla7[[#This Row],[Obra]]&amp;Tabla7[[#This Row],[Gerente de obra]]</f>
        <v>00000114SIN ASIGNACION</v>
      </c>
      <c r="L113">
        <f>MATCH(Tabla7[[#This Row],[AUX]],Loockup_ObrasGerencia[[#All],[aux]],0)</f>
        <v>115</v>
      </c>
      <c r="O113" t="str">
        <f>UPPER(GERENCIAS[[#This Row],[Gerente de obra]])</f>
        <v>SANCHEZ OSCAR</v>
      </c>
      <c r="R113" t="s">
        <v>296</v>
      </c>
      <c r="S113" t="s">
        <v>297</v>
      </c>
      <c r="T113" t="s">
        <v>53</v>
      </c>
      <c r="W113" s="8" t="s">
        <v>266</v>
      </c>
      <c r="X113" s="8" t="s">
        <v>265</v>
      </c>
      <c r="Y113" s="8" t="s">
        <v>17</v>
      </c>
      <c r="Z113" t="str">
        <f t="shared" si="1"/>
        <v>00000112SI</v>
      </c>
      <c r="AA113" s="11" t="e">
        <f>MATCH(Tabla9[[#This Row],[AUX]],Loockup_ObrasGerencia[[#All],[aux]],0)</f>
        <v>#N/A</v>
      </c>
    </row>
    <row r="114" spans="1:27" x14ac:dyDescent="0.25">
      <c r="A114" s="30" t="s">
        <v>269</v>
      </c>
      <c r="B114" s="30" t="s">
        <v>268</v>
      </c>
      <c r="C114" s="30" t="s">
        <v>17</v>
      </c>
      <c r="D114" s="30" t="str" cm="1">
        <f t="array" ref="D114">UPPER(_xlfn.XLOOKUP(Loockup_ObrasGerencia[[#This Row],[OBRA_PRONTO]],Tabla7[[#All],[Obra]],Tabla7[[#All],[Gerente de obra]],"Sin Obra Asignada",0))</f>
        <v>ORTIZ JUAN MANUEL</v>
      </c>
      <c r="E114" s="31" t="str">
        <f>Loockup_ObrasGerencia[[#This Row],[OBRA_PRONTO]]&amp;Loockup_ObrasGerencia[[#This Row],[GERENCIA]]</f>
        <v>00000113ORTIZ JUAN MANUEL</v>
      </c>
      <c r="H114" t="s">
        <v>298</v>
      </c>
      <c r="I114" t="s">
        <v>299</v>
      </c>
      <c r="J114" t="s">
        <v>1401</v>
      </c>
      <c r="K114" t="str">
        <f>Tabla7[[#This Row],[Obra]]&amp;Tabla7[[#This Row],[Gerente de obra]]</f>
        <v>00000115SIN ASIGNACION</v>
      </c>
      <c r="L114">
        <f>MATCH(Tabla7[[#This Row],[AUX]],Loockup_ObrasGerencia[[#All],[aux]],0)</f>
        <v>116</v>
      </c>
      <c r="O114" t="str">
        <f>UPPER(GERENCIAS[[#This Row],[Gerente de obra]])</f>
        <v>CATRIEL GISELA</v>
      </c>
      <c r="R114" t="s">
        <v>300</v>
      </c>
      <c r="S114" t="s">
        <v>301</v>
      </c>
      <c r="T114" t="s">
        <v>243</v>
      </c>
      <c r="W114" s="8" t="s">
        <v>269</v>
      </c>
      <c r="X114" s="8" t="s">
        <v>268</v>
      </c>
      <c r="Y114" s="8" t="s">
        <v>17</v>
      </c>
      <c r="Z114" t="str">
        <f t="shared" si="1"/>
        <v>00000113SI</v>
      </c>
      <c r="AA114" s="11" t="e">
        <f>MATCH(Tabla9[[#This Row],[AUX]],Loockup_ObrasGerencia[[#All],[aux]],0)</f>
        <v>#N/A</v>
      </c>
    </row>
    <row r="115" spans="1:27" x14ac:dyDescent="0.25">
      <c r="A115" s="30" t="s">
        <v>295</v>
      </c>
      <c r="B115" s="30" t="s">
        <v>294</v>
      </c>
      <c r="C115" s="30" t="s">
        <v>17</v>
      </c>
      <c r="D115" s="30" t="str" cm="1">
        <f t="array" ref="D115">UPPER(_xlfn.XLOOKUP(Loockup_ObrasGerencia[[#This Row],[OBRA_PRONTO]],Tabla7[[#All],[Obra]],Tabla7[[#All],[Gerente de obra]],"Sin Obra Asignada",0))</f>
        <v>SIN ASIGNACION</v>
      </c>
      <c r="E115" s="31" t="str">
        <f>Loockup_ObrasGerencia[[#This Row],[OBRA_PRONTO]]&amp;Loockup_ObrasGerencia[[#This Row],[GERENCIA]]</f>
        <v>00000114SIN ASIGNACION</v>
      </c>
      <c r="H115" t="s">
        <v>272</v>
      </c>
      <c r="I115" t="s">
        <v>273</v>
      </c>
      <c r="J115" t="s">
        <v>271</v>
      </c>
      <c r="K115" t="str">
        <f>Tabla7[[#This Row],[Obra]]&amp;Tabla7[[#This Row],[Gerente de obra]]</f>
        <v>00000116Catriel Gisela</v>
      </c>
      <c r="L115">
        <f>MATCH(Tabla7[[#This Row],[AUX]],Loockup_ObrasGerencia[[#All],[aux]],0)</f>
        <v>117</v>
      </c>
      <c r="O115" t="str">
        <f>UPPER(GERENCIAS[[#This Row],[Gerente de obra]])</f>
        <v>TRUJILLO</v>
      </c>
      <c r="R115" t="s">
        <v>302</v>
      </c>
      <c r="S115" t="s">
        <v>303</v>
      </c>
      <c r="T115" t="s">
        <v>25</v>
      </c>
      <c r="W115" s="8" t="s">
        <v>295</v>
      </c>
      <c r="X115" s="8" t="s">
        <v>294</v>
      </c>
      <c r="Y115" s="8" t="s">
        <v>17</v>
      </c>
      <c r="Z115" t="str">
        <f t="shared" si="1"/>
        <v>00000114SI</v>
      </c>
      <c r="AA115" s="11" t="e">
        <f>MATCH(Tabla9[[#This Row],[AUX]],Loockup_ObrasGerencia[[#All],[aux]],0)</f>
        <v>#N/A</v>
      </c>
    </row>
    <row r="116" spans="1:27" x14ac:dyDescent="0.25">
      <c r="A116" s="30" t="s">
        <v>299</v>
      </c>
      <c r="B116" s="30" t="s">
        <v>298</v>
      </c>
      <c r="C116" s="30" t="s">
        <v>17</v>
      </c>
      <c r="D116" s="30" t="str" cm="1">
        <f t="array" ref="D116">UPPER(_xlfn.XLOOKUP(Loockup_ObrasGerencia[[#This Row],[OBRA_PRONTO]],Tabla7[[#All],[Obra]],Tabla7[[#All],[Gerente de obra]],"Sin Obra Asignada",0))</f>
        <v>SIN ASIGNACION</v>
      </c>
      <c r="E116" s="31" t="str">
        <f>Loockup_ObrasGerencia[[#This Row],[OBRA_PRONTO]]&amp;Loockup_ObrasGerencia[[#This Row],[GERENCIA]]</f>
        <v>00000115SIN ASIGNACION</v>
      </c>
      <c r="H116" t="s">
        <v>274</v>
      </c>
      <c r="I116" t="s">
        <v>275</v>
      </c>
      <c r="J116" t="s">
        <v>271</v>
      </c>
      <c r="K116" t="str">
        <f>Tabla7[[#This Row],[Obra]]&amp;Tabla7[[#This Row],[Gerente de obra]]</f>
        <v>00000117Catriel Gisela</v>
      </c>
      <c r="L116">
        <f>MATCH(Tabla7[[#This Row],[AUX]],Loockup_ObrasGerencia[[#All],[aux]],0)</f>
        <v>118</v>
      </c>
      <c r="O116" t="str">
        <f>UPPER(GERENCIAS[[#This Row],[Gerente de obra]])</f>
        <v>CATRIEL GISELA</v>
      </c>
      <c r="R116" t="s">
        <v>304</v>
      </c>
      <c r="S116" t="s">
        <v>305</v>
      </c>
      <c r="T116" t="s">
        <v>243</v>
      </c>
      <c r="W116" s="8" t="s">
        <v>299</v>
      </c>
      <c r="X116" s="8" t="s">
        <v>298</v>
      </c>
      <c r="Y116" s="8" t="s">
        <v>17</v>
      </c>
      <c r="Z116" t="str">
        <f t="shared" si="1"/>
        <v>00000115SI</v>
      </c>
      <c r="AA116" s="11" t="e">
        <f>MATCH(Tabla9[[#This Row],[AUX]],Loockup_ObrasGerencia[[#All],[aux]],0)</f>
        <v>#N/A</v>
      </c>
    </row>
    <row r="117" spans="1:27" x14ac:dyDescent="0.25">
      <c r="A117" s="30" t="s">
        <v>273</v>
      </c>
      <c r="B117" s="30" t="s">
        <v>272</v>
      </c>
      <c r="C117" s="30" t="s">
        <v>17</v>
      </c>
      <c r="D117" s="30" t="str" cm="1">
        <f t="array" ref="D117">UPPER(_xlfn.XLOOKUP(Loockup_ObrasGerencia[[#This Row],[OBRA_PRONTO]],Tabla7[[#All],[Obra]],Tabla7[[#All],[Gerente de obra]],"Sin Obra Asignada",0))</f>
        <v>CATRIEL GISELA</v>
      </c>
      <c r="E117" s="31" t="str">
        <f>Loockup_ObrasGerencia[[#This Row],[OBRA_PRONTO]]&amp;Loockup_ObrasGerencia[[#This Row],[GERENCIA]]</f>
        <v>00000116CATRIEL GISELA</v>
      </c>
      <c r="H117" t="s">
        <v>276</v>
      </c>
      <c r="I117" t="s">
        <v>277</v>
      </c>
      <c r="J117" t="s">
        <v>271</v>
      </c>
      <c r="K117" t="str">
        <f>Tabla7[[#This Row],[Obra]]&amp;Tabla7[[#This Row],[Gerente de obra]]</f>
        <v>00000118Catriel Gisela</v>
      </c>
      <c r="L117">
        <f>MATCH(Tabla7[[#This Row],[AUX]],Loockup_ObrasGerencia[[#All],[aux]],0)</f>
        <v>119</v>
      </c>
      <c r="O117" t="str">
        <f>UPPER(GERENCIAS[[#This Row],[Gerente de obra]])</f>
        <v>CATRIEL GISELA</v>
      </c>
      <c r="R117" t="s">
        <v>306</v>
      </c>
      <c r="S117" t="s">
        <v>307</v>
      </c>
      <c r="T117" t="s">
        <v>243</v>
      </c>
      <c r="W117" s="8" t="s">
        <v>273</v>
      </c>
      <c r="X117" s="8" t="s">
        <v>272</v>
      </c>
      <c r="Y117" s="8" t="s">
        <v>17</v>
      </c>
      <c r="Z117" t="str">
        <f t="shared" si="1"/>
        <v>00000116SI</v>
      </c>
      <c r="AA117" s="11" t="e">
        <f>MATCH(Tabla9[[#This Row],[AUX]],Loockup_ObrasGerencia[[#All],[aux]],0)</f>
        <v>#N/A</v>
      </c>
    </row>
    <row r="118" spans="1:27" x14ac:dyDescent="0.25">
      <c r="A118" s="30" t="s">
        <v>275</v>
      </c>
      <c r="B118" s="30" t="s">
        <v>274</v>
      </c>
      <c r="C118" s="30" t="s">
        <v>17</v>
      </c>
      <c r="D118" s="30" t="str" cm="1">
        <f t="array" ref="D118">UPPER(_xlfn.XLOOKUP(Loockup_ObrasGerencia[[#This Row],[OBRA_PRONTO]],Tabla7[[#All],[Obra]],Tabla7[[#All],[Gerente de obra]],"Sin Obra Asignada",0))</f>
        <v>CATRIEL GISELA</v>
      </c>
      <c r="E118" s="31" t="str">
        <f>Loockup_ObrasGerencia[[#This Row],[OBRA_PRONTO]]&amp;Loockup_ObrasGerencia[[#This Row],[GERENCIA]]</f>
        <v>00000117CATRIEL GISELA</v>
      </c>
      <c r="H118" t="s">
        <v>278</v>
      </c>
      <c r="I118" t="s">
        <v>279</v>
      </c>
      <c r="J118" t="s">
        <v>18</v>
      </c>
      <c r="K118" t="str">
        <f>Tabla7[[#This Row],[Obra]]&amp;Tabla7[[#This Row],[Gerente de obra]]</f>
        <v>00000119Ortiz Juan Manuel</v>
      </c>
      <c r="L118">
        <f>MATCH(Tabla7[[#This Row],[AUX]],Loockup_ObrasGerencia[[#All],[aux]],0)</f>
        <v>120</v>
      </c>
      <c r="O118" t="str">
        <f>UPPER(GERENCIAS[[#This Row],[Gerente de obra]])</f>
        <v>SANCHEZ OSCAR</v>
      </c>
      <c r="R118" t="s">
        <v>308</v>
      </c>
      <c r="S118" t="s">
        <v>309</v>
      </c>
      <c r="T118" t="s">
        <v>53</v>
      </c>
      <c r="W118" s="8" t="s">
        <v>275</v>
      </c>
      <c r="X118" s="8" t="s">
        <v>274</v>
      </c>
      <c r="Y118" s="8" t="s">
        <v>17</v>
      </c>
      <c r="Z118" t="str">
        <f t="shared" si="1"/>
        <v>00000117SI</v>
      </c>
      <c r="AA118" s="11" t="e">
        <f>MATCH(Tabla9[[#This Row],[AUX]],Loockup_ObrasGerencia[[#All],[aux]],0)</f>
        <v>#N/A</v>
      </c>
    </row>
    <row r="119" spans="1:27" x14ac:dyDescent="0.25">
      <c r="A119" s="30" t="s">
        <v>277</v>
      </c>
      <c r="B119" s="30" t="s">
        <v>276</v>
      </c>
      <c r="C119" s="30" t="s">
        <v>17</v>
      </c>
      <c r="D119" s="30" t="str" cm="1">
        <f t="array" ref="D119">UPPER(_xlfn.XLOOKUP(Loockup_ObrasGerencia[[#This Row],[OBRA_PRONTO]],Tabla7[[#All],[Obra]],Tabla7[[#All],[Gerente de obra]],"Sin Obra Asignada",0))</f>
        <v>CATRIEL GISELA</v>
      </c>
      <c r="E119" s="31" t="str">
        <f>Loockup_ObrasGerencia[[#This Row],[OBRA_PRONTO]]&amp;Loockup_ObrasGerencia[[#This Row],[GERENCIA]]</f>
        <v>00000118CATRIEL GISELA</v>
      </c>
      <c r="H119" t="s">
        <v>280</v>
      </c>
      <c r="I119" t="s">
        <v>281</v>
      </c>
      <c r="J119" t="s">
        <v>271</v>
      </c>
      <c r="K119" t="str">
        <f>Tabla7[[#This Row],[Obra]]&amp;Tabla7[[#This Row],[Gerente de obra]]</f>
        <v>00000120Catriel Gisela</v>
      </c>
      <c r="L119">
        <f>MATCH(Tabla7[[#This Row],[AUX]],Loockup_ObrasGerencia[[#All],[aux]],0)</f>
        <v>121</v>
      </c>
      <c r="O119" t="str">
        <f>UPPER(GERENCIAS[[#This Row],[Gerente de obra]])</f>
        <v>BARONE ALBERTO</v>
      </c>
      <c r="R119" t="s">
        <v>310</v>
      </c>
      <c r="S119" t="s">
        <v>311</v>
      </c>
      <c r="T119" t="s">
        <v>132</v>
      </c>
      <c r="W119" s="8" t="s">
        <v>277</v>
      </c>
      <c r="X119" s="8" t="s">
        <v>276</v>
      </c>
      <c r="Y119" s="8" t="s">
        <v>17</v>
      </c>
      <c r="Z119" t="str">
        <f t="shared" si="1"/>
        <v>00000118SI</v>
      </c>
      <c r="AA119" s="11" t="e">
        <f>MATCH(Tabla9[[#This Row],[AUX]],Loockup_ObrasGerencia[[#All],[aux]],0)</f>
        <v>#N/A</v>
      </c>
    </row>
    <row r="120" spans="1:27" x14ac:dyDescent="0.25">
      <c r="A120" s="30" t="s">
        <v>279</v>
      </c>
      <c r="B120" s="30" t="s">
        <v>278</v>
      </c>
      <c r="C120" s="30" t="s">
        <v>17</v>
      </c>
      <c r="D120" s="30" t="str" cm="1">
        <f t="array" ref="D120">UPPER(_xlfn.XLOOKUP(Loockup_ObrasGerencia[[#This Row],[OBRA_PRONTO]],Tabla7[[#All],[Obra]],Tabla7[[#All],[Gerente de obra]],"Sin Obra Asignada",0))</f>
        <v>ORTIZ JUAN MANUEL</v>
      </c>
      <c r="E120" s="31" t="str">
        <f>Loockup_ObrasGerencia[[#This Row],[OBRA_PRONTO]]&amp;Loockup_ObrasGerencia[[#This Row],[GERENCIA]]</f>
        <v>00000119ORTIZ JUAN MANUEL</v>
      </c>
      <c r="H120" t="s">
        <v>282</v>
      </c>
      <c r="I120" t="s">
        <v>283</v>
      </c>
      <c r="J120" t="s">
        <v>18</v>
      </c>
      <c r="K120" t="str">
        <f>Tabla7[[#This Row],[Obra]]&amp;Tabla7[[#This Row],[Gerente de obra]]</f>
        <v>00000121Ortiz Juan Manuel</v>
      </c>
      <c r="L120">
        <f>MATCH(Tabla7[[#This Row],[AUX]],Loockup_ObrasGerencia[[#All],[aux]],0)</f>
        <v>122</v>
      </c>
      <c r="O120" t="str">
        <f>UPPER(GERENCIAS[[#This Row],[Gerente de obra]])</f>
        <v>FRANCISCO DI LISIO</v>
      </c>
      <c r="R120" t="s">
        <v>312</v>
      </c>
      <c r="S120" t="s">
        <v>313</v>
      </c>
      <c r="T120" t="s">
        <v>78</v>
      </c>
      <c r="W120" s="8" t="s">
        <v>279</v>
      </c>
      <c r="X120" s="8" t="s">
        <v>278</v>
      </c>
      <c r="Y120" s="8" t="s">
        <v>17</v>
      </c>
      <c r="Z120" t="str">
        <f t="shared" si="1"/>
        <v>00000119SI</v>
      </c>
      <c r="AA120" s="11" t="e">
        <f>MATCH(Tabla9[[#This Row],[AUX]],Loockup_ObrasGerencia[[#All],[aux]],0)</f>
        <v>#N/A</v>
      </c>
    </row>
    <row r="121" spans="1:27" x14ac:dyDescent="0.25">
      <c r="A121" s="30" t="s">
        <v>281</v>
      </c>
      <c r="B121" s="30" t="s">
        <v>280</v>
      </c>
      <c r="C121" s="30" t="s">
        <v>17</v>
      </c>
      <c r="D121" s="30" t="str" cm="1">
        <f t="array" ref="D121">UPPER(_xlfn.XLOOKUP(Loockup_ObrasGerencia[[#This Row],[OBRA_PRONTO]],Tabla7[[#All],[Obra]],Tabla7[[#All],[Gerente de obra]],"Sin Obra Asignada",0))</f>
        <v>CATRIEL GISELA</v>
      </c>
      <c r="E121" s="31" t="str">
        <f>Loockup_ObrasGerencia[[#This Row],[OBRA_PRONTO]]&amp;Loockup_ObrasGerencia[[#This Row],[GERENCIA]]</f>
        <v>00000120CATRIEL GISELA</v>
      </c>
      <c r="H121" t="s">
        <v>285</v>
      </c>
      <c r="I121" t="s">
        <v>286</v>
      </c>
      <c r="J121" t="s">
        <v>18</v>
      </c>
      <c r="K121" t="str">
        <f>Tabla7[[#This Row],[Obra]]&amp;Tabla7[[#This Row],[Gerente de obra]]</f>
        <v>00000122Ortiz Juan Manuel</v>
      </c>
      <c r="L121">
        <f>MATCH(Tabla7[[#This Row],[AUX]],Loockup_ObrasGerencia[[#All],[aux]],0)</f>
        <v>123</v>
      </c>
      <c r="O121" t="str">
        <f>UPPER(GERENCIAS[[#This Row],[Gerente de obra]])</f>
        <v>ORTIZ JUAN MANUEL</v>
      </c>
      <c r="R121" t="s">
        <v>314</v>
      </c>
      <c r="S121" t="s">
        <v>315</v>
      </c>
      <c r="T121" t="s">
        <v>19</v>
      </c>
      <c r="W121" s="8" t="s">
        <v>281</v>
      </c>
      <c r="X121" s="8" t="s">
        <v>280</v>
      </c>
      <c r="Y121" s="8" t="s">
        <v>17</v>
      </c>
      <c r="Z121" t="str">
        <f t="shared" si="1"/>
        <v>00000120SI</v>
      </c>
      <c r="AA121" s="11" t="e">
        <f>MATCH(Tabla9[[#This Row],[AUX]],Loockup_ObrasGerencia[[#All],[aux]],0)</f>
        <v>#N/A</v>
      </c>
    </row>
    <row r="122" spans="1:27" x14ac:dyDescent="0.25">
      <c r="A122" s="30" t="s">
        <v>283</v>
      </c>
      <c r="B122" s="30" t="s">
        <v>282</v>
      </c>
      <c r="C122" s="30" t="s">
        <v>17</v>
      </c>
      <c r="D122" s="30" t="str" cm="1">
        <f t="array" ref="D122">UPPER(_xlfn.XLOOKUP(Loockup_ObrasGerencia[[#This Row],[OBRA_PRONTO]],Tabla7[[#All],[Obra]],Tabla7[[#All],[Gerente de obra]],"Sin Obra Asignada",0))</f>
        <v>ORTIZ JUAN MANUEL</v>
      </c>
      <c r="E122" s="31" t="str">
        <f>Loockup_ObrasGerencia[[#This Row],[OBRA_PRONTO]]&amp;Loockup_ObrasGerencia[[#This Row],[GERENCIA]]</f>
        <v>00000121ORTIZ JUAN MANUEL</v>
      </c>
      <c r="H122" t="s">
        <v>288</v>
      </c>
      <c r="I122" t="s">
        <v>289</v>
      </c>
      <c r="J122" t="s">
        <v>18</v>
      </c>
      <c r="K122" t="str">
        <f>Tabla7[[#This Row],[Obra]]&amp;Tabla7[[#This Row],[Gerente de obra]]</f>
        <v>00000123Ortiz Juan Manuel</v>
      </c>
      <c r="L122">
        <f>MATCH(Tabla7[[#This Row],[AUX]],Loockup_ObrasGerencia[[#All],[aux]],0)</f>
        <v>124</v>
      </c>
      <c r="O122" t="str">
        <f>UPPER(GERENCIAS[[#This Row],[Gerente de obra]])</f>
        <v>FRANCISCO DI LISIO</v>
      </c>
      <c r="R122" t="s">
        <v>316</v>
      </c>
      <c r="S122" t="s">
        <v>317</v>
      </c>
      <c r="T122" t="s">
        <v>78</v>
      </c>
      <c r="W122" s="8" t="s">
        <v>283</v>
      </c>
      <c r="X122" s="8" t="s">
        <v>282</v>
      </c>
      <c r="Y122" s="8" t="s">
        <v>17</v>
      </c>
      <c r="Z122" t="str">
        <f t="shared" si="1"/>
        <v>00000121SI</v>
      </c>
      <c r="AA122" s="11" t="e">
        <f>MATCH(Tabla9[[#This Row],[AUX]],Loockup_ObrasGerencia[[#All],[aux]],0)</f>
        <v>#N/A</v>
      </c>
    </row>
    <row r="123" spans="1:27" x14ac:dyDescent="0.25">
      <c r="A123" s="30" t="s">
        <v>286</v>
      </c>
      <c r="B123" s="30" t="s">
        <v>285</v>
      </c>
      <c r="C123" s="30" t="s">
        <v>17</v>
      </c>
      <c r="D123" s="30" t="str" cm="1">
        <f t="array" ref="D123">UPPER(_xlfn.XLOOKUP(Loockup_ObrasGerencia[[#This Row],[OBRA_PRONTO]],Tabla7[[#All],[Obra]],Tabla7[[#All],[Gerente de obra]],"Sin Obra Asignada",0))</f>
        <v>ORTIZ JUAN MANUEL</v>
      </c>
      <c r="E123" s="31" t="str">
        <f>Loockup_ObrasGerencia[[#This Row],[OBRA_PRONTO]]&amp;Loockup_ObrasGerencia[[#This Row],[GERENCIA]]</f>
        <v>00000122ORTIZ JUAN MANUEL</v>
      </c>
      <c r="H123" t="s">
        <v>318</v>
      </c>
      <c r="I123" t="s">
        <v>319</v>
      </c>
      <c r="J123" t="s">
        <v>1401</v>
      </c>
      <c r="K123" t="str">
        <f>Tabla7[[#This Row],[Obra]]&amp;Tabla7[[#This Row],[Gerente de obra]]</f>
        <v>00000124SIN ASIGNACION</v>
      </c>
      <c r="L123">
        <f>MATCH(Tabla7[[#This Row],[AUX]],Loockup_ObrasGerencia[[#All],[aux]],0)</f>
        <v>125</v>
      </c>
      <c r="O123" t="str">
        <f>UPPER(GERENCIAS[[#This Row],[Gerente de obra]])</f>
        <v>BARONE ALBERTO</v>
      </c>
      <c r="R123" t="s">
        <v>320</v>
      </c>
      <c r="S123" t="s">
        <v>321</v>
      </c>
      <c r="T123" t="s">
        <v>132</v>
      </c>
      <c r="W123" s="8" t="s">
        <v>286</v>
      </c>
      <c r="X123" s="8" t="s">
        <v>285</v>
      </c>
      <c r="Y123" s="8" t="s">
        <v>17</v>
      </c>
      <c r="Z123" t="str">
        <f t="shared" si="1"/>
        <v>00000122SI</v>
      </c>
      <c r="AA123" s="11" t="e">
        <f>MATCH(Tabla9[[#This Row],[AUX]],Loockup_ObrasGerencia[[#All],[aux]],0)</f>
        <v>#N/A</v>
      </c>
    </row>
    <row r="124" spans="1:27" x14ac:dyDescent="0.25">
      <c r="A124" s="30" t="s">
        <v>289</v>
      </c>
      <c r="B124" s="30" t="s">
        <v>288</v>
      </c>
      <c r="C124" s="30" t="s">
        <v>17</v>
      </c>
      <c r="D124" s="30" t="str" cm="1">
        <f t="array" ref="D124">UPPER(_xlfn.XLOOKUP(Loockup_ObrasGerencia[[#This Row],[OBRA_PRONTO]],Tabla7[[#All],[Obra]],Tabla7[[#All],[Gerente de obra]],"Sin Obra Asignada",0))</f>
        <v>ORTIZ JUAN MANUEL</v>
      </c>
      <c r="E124" s="31" t="str">
        <f>Loockup_ObrasGerencia[[#This Row],[OBRA_PRONTO]]&amp;Loockup_ObrasGerencia[[#This Row],[GERENCIA]]</f>
        <v>00000123ORTIZ JUAN MANUEL</v>
      </c>
      <c r="H124" t="s">
        <v>290</v>
      </c>
      <c r="I124" t="s">
        <v>291</v>
      </c>
      <c r="J124" t="s">
        <v>271</v>
      </c>
      <c r="K124" t="str">
        <f>Tabla7[[#This Row],[Obra]]&amp;Tabla7[[#This Row],[Gerente de obra]]</f>
        <v>00000125Catriel Gisela</v>
      </c>
      <c r="L124">
        <f>MATCH(Tabla7[[#This Row],[AUX]],Loockup_ObrasGerencia[[#All],[aux]],0)</f>
        <v>126</v>
      </c>
      <c r="O124" t="str">
        <f>UPPER(GERENCIAS[[#This Row],[Gerente de obra]])</f>
        <v>BARONE ALBERTO</v>
      </c>
      <c r="R124" t="s">
        <v>322</v>
      </c>
      <c r="S124" t="s">
        <v>323</v>
      </c>
      <c r="T124" t="s">
        <v>132</v>
      </c>
      <c r="W124" s="8" t="s">
        <v>289</v>
      </c>
      <c r="X124" s="8" t="s">
        <v>288</v>
      </c>
      <c r="Y124" s="8" t="s">
        <v>17</v>
      </c>
      <c r="Z124" t="str">
        <f t="shared" si="1"/>
        <v>00000123SI</v>
      </c>
      <c r="AA124" s="11" t="e">
        <f>MATCH(Tabla9[[#This Row],[AUX]],Loockup_ObrasGerencia[[#All],[aux]],0)</f>
        <v>#N/A</v>
      </c>
    </row>
    <row r="125" spans="1:27" x14ac:dyDescent="0.25">
      <c r="A125" s="30" t="s">
        <v>319</v>
      </c>
      <c r="B125" s="30" t="s">
        <v>318</v>
      </c>
      <c r="C125" s="30" t="s">
        <v>17</v>
      </c>
      <c r="D125" s="30" t="str" cm="1">
        <f t="array" ref="D125">UPPER(_xlfn.XLOOKUP(Loockup_ObrasGerencia[[#This Row],[OBRA_PRONTO]],Tabla7[[#All],[Obra]],Tabla7[[#All],[Gerente de obra]],"Sin Obra Asignada",0))</f>
        <v>SIN ASIGNACION</v>
      </c>
      <c r="E125" s="31" t="str">
        <f>Loockup_ObrasGerencia[[#This Row],[OBRA_PRONTO]]&amp;Loockup_ObrasGerencia[[#This Row],[GERENCIA]]</f>
        <v>00000124SIN ASIGNACION</v>
      </c>
      <c r="H125" t="s">
        <v>292</v>
      </c>
      <c r="I125" t="s">
        <v>293</v>
      </c>
      <c r="J125" t="s">
        <v>79</v>
      </c>
      <c r="K125" t="str">
        <f>Tabla7[[#This Row],[Obra]]&amp;Tabla7[[#This Row],[Gerente de obra]]</f>
        <v>00000126Francisco Di Lisio</v>
      </c>
      <c r="L125">
        <f>MATCH(Tabla7[[#This Row],[AUX]],Loockup_ObrasGerencia[[#All],[aux]],0)</f>
        <v>127</v>
      </c>
      <c r="O125" t="str">
        <f>UPPER(GERENCIAS[[#This Row],[Gerente de obra]])</f>
        <v>ORTIZ JUAN MANUEL</v>
      </c>
      <c r="R125" t="s">
        <v>324</v>
      </c>
      <c r="S125" t="s">
        <v>325</v>
      </c>
      <c r="T125" t="s">
        <v>19</v>
      </c>
      <c r="W125" s="8" t="s">
        <v>319</v>
      </c>
      <c r="X125" s="8" t="s">
        <v>318</v>
      </c>
      <c r="Y125" s="8" t="s">
        <v>17</v>
      </c>
      <c r="Z125" t="str">
        <f t="shared" si="1"/>
        <v>00000124SI</v>
      </c>
      <c r="AA125" s="11" t="e">
        <f>MATCH(Tabla9[[#This Row],[AUX]],Loockup_ObrasGerencia[[#All],[aux]],0)</f>
        <v>#N/A</v>
      </c>
    </row>
    <row r="126" spans="1:27" x14ac:dyDescent="0.25">
      <c r="A126" s="30" t="s">
        <v>291</v>
      </c>
      <c r="B126" s="30" t="s">
        <v>290</v>
      </c>
      <c r="C126" s="30" t="s">
        <v>17</v>
      </c>
      <c r="D126" s="30" t="str" cm="1">
        <f t="array" ref="D126">UPPER(_xlfn.XLOOKUP(Loockup_ObrasGerencia[[#This Row],[OBRA_PRONTO]],Tabla7[[#All],[Obra]],Tabla7[[#All],[Gerente de obra]],"Sin Obra Asignada",0))</f>
        <v>CATRIEL GISELA</v>
      </c>
      <c r="E126" s="31" t="str">
        <f>Loockup_ObrasGerencia[[#This Row],[OBRA_PRONTO]]&amp;Loockup_ObrasGerencia[[#This Row],[GERENCIA]]</f>
        <v>00000125CATRIEL GISELA</v>
      </c>
      <c r="H126" t="s">
        <v>296</v>
      </c>
      <c r="I126" t="s">
        <v>297</v>
      </c>
      <c r="J126" t="s">
        <v>52</v>
      </c>
      <c r="K126" t="str">
        <f>Tabla7[[#This Row],[Obra]]&amp;Tabla7[[#This Row],[Gerente de obra]]</f>
        <v>00000127Sanchez Oscar</v>
      </c>
      <c r="L126">
        <f>MATCH(Tabla7[[#This Row],[AUX]],Loockup_ObrasGerencia[[#All],[aux]],0)</f>
        <v>128</v>
      </c>
      <c r="O126" t="str">
        <f>UPPER(GERENCIAS[[#This Row],[Gerente de obra]])</f>
        <v>ORTIZ JUAN MANUEL</v>
      </c>
      <c r="R126" t="s">
        <v>326</v>
      </c>
      <c r="S126" t="s">
        <v>327</v>
      </c>
      <c r="T126" t="s">
        <v>19</v>
      </c>
      <c r="W126" s="8" t="s">
        <v>291</v>
      </c>
      <c r="X126" s="8" t="s">
        <v>290</v>
      </c>
      <c r="Y126" s="8" t="s">
        <v>17</v>
      </c>
      <c r="Z126" t="str">
        <f t="shared" si="1"/>
        <v>00000125SI</v>
      </c>
      <c r="AA126" s="11" t="e">
        <f>MATCH(Tabla9[[#This Row],[AUX]],Loockup_ObrasGerencia[[#All],[aux]],0)</f>
        <v>#N/A</v>
      </c>
    </row>
    <row r="127" spans="1:27" x14ac:dyDescent="0.25">
      <c r="A127" s="30" t="s">
        <v>293</v>
      </c>
      <c r="B127" s="30" t="s">
        <v>292</v>
      </c>
      <c r="C127" s="30" t="s">
        <v>267</v>
      </c>
      <c r="D127" s="30" t="str" cm="1">
        <f t="array" ref="D127">UPPER(_xlfn.XLOOKUP(Loockup_ObrasGerencia[[#This Row],[OBRA_PRONTO]],Tabla7[[#All],[Obra]],Tabla7[[#All],[Gerente de obra]],"Sin Obra Asignada",0))</f>
        <v>FRANCISCO DI LISIO</v>
      </c>
      <c r="E127" s="31" t="str">
        <f>Loockup_ObrasGerencia[[#This Row],[OBRA_PRONTO]]&amp;Loockup_ObrasGerencia[[#This Row],[GERENCIA]]</f>
        <v>00000126FRANCISCO DI LISIO</v>
      </c>
      <c r="H127" t="s">
        <v>328</v>
      </c>
      <c r="I127" t="s">
        <v>329</v>
      </c>
      <c r="J127" t="s">
        <v>1401</v>
      </c>
      <c r="K127" t="str">
        <f>Tabla7[[#This Row],[Obra]]&amp;Tabla7[[#This Row],[Gerente de obra]]</f>
        <v>00000128SIN ASIGNACION</v>
      </c>
      <c r="L127">
        <f>MATCH(Tabla7[[#This Row],[AUX]],Loockup_ObrasGerencia[[#All],[aux]],0)</f>
        <v>129</v>
      </c>
      <c r="O127" t="str">
        <f>UPPER(GERENCIAS[[#This Row],[Gerente de obra]])</f>
        <v>ORTIZ JUAN MANUEL</v>
      </c>
      <c r="R127" t="s">
        <v>330</v>
      </c>
      <c r="S127" t="s">
        <v>331</v>
      </c>
      <c r="T127" t="s">
        <v>19</v>
      </c>
      <c r="W127" s="8" t="s">
        <v>293</v>
      </c>
      <c r="X127" s="8" t="s">
        <v>292</v>
      </c>
      <c r="Y127" s="8" t="s">
        <v>270</v>
      </c>
      <c r="Z127" t="str">
        <f t="shared" si="1"/>
        <v>00000126ACTIVOS</v>
      </c>
      <c r="AA127" s="11" t="e">
        <f>MATCH(Tabla9[[#This Row],[AUX]],Loockup_ObrasGerencia[[#All],[aux]],0)</f>
        <v>#N/A</v>
      </c>
    </row>
    <row r="128" spans="1:27" x14ac:dyDescent="0.25">
      <c r="A128" s="30" t="s">
        <v>297</v>
      </c>
      <c r="B128" s="30" t="s">
        <v>296</v>
      </c>
      <c r="C128" s="30" t="s">
        <v>17</v>
      </c>
      <c r="D128" s="30" t="str" cm="1">
        <f t="array" ref="D128">UPPER(_xlfn.XLOOKUP(Loockup_ObrasGerencia[[#This Row],[OBRA_PRONTO]],Tabla7[[#All],[Obra]],Tabla7[[#All],[Gerente de obra]],"Sin Obra Asignada",0))</f>
        <v>SANCHEZ OSCAR</v>
      </c>
      <c r="E128" s="31" t="str">
        <f>Loockup_ObrasGerencia[[#This Row],[OBRA_PRONTO]]&amp;Loockup_ObrasGerencia[[#This Row],[GERENCIA]]</f>
        <v>00000127SANCHEZ OSCAR</v>
      </c>
      <c r="H128" t="s">
        <v>300</v>
      </c>
      <c r="I128" t="s">
        <v>301</v>
      </c>
      <c r="J128" t="s">
        <v>271</v>
      </c>
      <c r="K128" t="str">
        <f>Tabla7[[#This Row],[Obra]]&amp;Tabla7[[#This Row],[Gerente de obra]]</f>
        <v>00000129Catriel Gisela</v>
      </c>
      <c r="L128">
        <f>MATCH(Tabla7[[#This Row],[AUX]],Loockup_ObrasGerencia[[#All],[aux]],0)</f>
        <v>130</v>
      </c>
      <c r="O128" t="str">
        <f>UPPER(GERENCIAS[[#This Row],[Gerente de obra]])</f>
        <v>CATRIEL GISELA</v>
      </c>
      <c r="R128" t="s">
        <v>332</v>
      </c>
      <c r="S128" t="s">
        <v>333</v>
      </c>
      <c r="T128" t="s">
        <v>243</v>
      </c>
      <c r="W128" s="8" t="s">
        <v>297</v>
      </c>
      <c r="X128" s="8" t="s">
        <v>296</v>
      </c>
      <c r="Y128" s="8" t="s">
        <v>17</v>
      </c>
      <c r="Z128" t="str">
        <f t="shared" si="1"/>
        <v>00000127SI</v>
      </c>
      <c r="AA128" s="11" t="e">
        <f>MATCH(Tabla9[[#This Row],[AUX]],Loockup_ObrasGerencia[[#All],[aux]],0)</f>
        <v>#N/A</v>
      </c>
    </row>
    <row r="129" spans="1:27" x14ac:dyDescent="0.25">
      <c r="A129" s="30" t="s">
        <v>329</v>
      </c>
      <c r="B129" s="30" t="s">
        <v>328</v>
      </c>
      <c r="C129" s="30" t="s">
        <v>17</v>
      </c>
      <c r="D129" s="30" t="str" cm="1">
        <f t="array" ref="D129">UPPER(_xlfn.XLOOKUP(Loockup_ObrasGerencia[[#This Row],[OBRA_PRONTO]],Tabla7[[#All],[Obra]],Tabla7[[#All],[Gerente de obra]],"Sin Obra Asignada",0))</f>
        <v>SIN ASIGNACION</v>
      </c>
      <c r="E129" s="31" t="str">
        <f>Loockup_ObrasGerencia[[#This Row],[OBRA_PRONTO]]&amp;Loockup_ObrasGerencia[[#This Row],[GERENCIA]]</f>
        <v>00000128SIN ASIGNACION</v>
      </c>
      <c r="H129" t="s">
        <v>302</v>
      </c>
      <c r="I129" t="s">
        <v>303</v>
      </c>
      <c r="J129" t="s">
        <v>24</v>
      </c>
      <c r="K129" t="str">
        <f>Tabla7[[#This Row],[Obra]]&amp;Tabla7[[#This Row],[Gerente de obra]]</f>
        <v>00000130Trujillo</v>
      </c>
      <c r="L129">
        <f>MATCH(Tabla7[[#This Row],[AUX]],Loockup_ObrasGerencia[[#All],[aux]],0)</f>
        <v>131</v>
      </c>
      <c r="O129" t="str">
        <f>UPPER(GERENCIAS[[#This Row],[Gerente de obra]])</f>
        <v>METZLER JAVIER</v>
      </c>
      <c r="R129" t="s">
        <v>334</v>
      </c>
      <c r="S129" t="s">
        <v>335</v>
      </c>
      <c r="T129" t="s">
        <v>68</v>
      </c>
      <c r="W129" s="8" t="s">
        <v>329</v>
      </c>
      <c r="X129" s="8" t="s">
        <v>328</v>
      </c>
      <c r="Y129" s="8" t="s">
        <v>17</v>
      </c>
      <c r="Z129" t="str">
        <f t="shared" si="1"/>
        <v>00000128SI</v>
      </c>
      <c r="AA129" s="11" t="e">
        <f>MATCH(Tabla9[[#This Row],[AUX]],Loockup_ObrasGerencia[[#All],[aux]],0)</f>
        <v>#N/A</v>
      </c>
    </row>
    <row r="130" spans="1:27" x14ac:dyDescent="0.25">
      <c r="A130" s="30" t="s">
        <v>301</v>
      </c>
      <c r="B130" s="30" t="s">
        <v>300</v>
      </c>
      <c r="C130" s="30" t="s">
        <v>17</v>
      </c>
      <c r="D130" s="30" t="str" cm="1">
        <f t="array" ref="D130">UPPER(_xlfn.XLOOKUP(Loockup_ObrasGerencia[[#This Row],[OBRA_PRONTO]],Tabla7[[#All],[Obra]],Tabla7[[#All],[Gerente de obra]],"Sin Obra Asignada",0))</f>
        <v>CATRIEL GISELA</v>
      </c>
      <c r="E130" s="31" t="str">
        <f>Loockup_ObrasGerencia[[#This Row],[OBRA_PRONTO]]&amp;Loockup_ObrasGerencia[[#This Row],[GERENCIA]]</f>
        <v>00000129CATRIEL GISELA</v>
      </c>
      <c r="H130" t="s">
        <v>304</v>
      </c>
      <c r="I130" t="s">
        <v>305</v>
      </c>
      <c r="J130" t="s">
        <v>271</v>
      </c>
      <c r="K130" t="str">
        <f>Tabla7[[#This Row],[Obra]]&amp;Tabla7[[#This Row],[Gerente de obra]]</f>
        <v>00000131Catriel Gisela</v>
      </c>
      <c r="L130">
        <f>MATCH(Tabla7[[#This Row],[AUX]],Loockup_ObrasGerencia[[#All],[aux]],0)</f>
        <v>132</v>
      </c>
      <c r="O130" t="str">
        <f>UPPER(GERENCIAS[[#This Row],[Gerente de obra]])</f>
        <v>FRANCISCO DI LISIO</v>
      </c>
      <c r="R130" t="s">
        <v>336</v>
      </c>
      <c r="S130" t="s">
        <v>337</v>
      </c>
      <c r="T130" t="s">
        <v>78</v>
      </c>
      <c r="W130" s="8" t="s">
        <v>301</v>
      </c>
      <c r="X130" s="8" t="s">
        <v>300</v>
      </c>
      <c r="Y130" s="8" t="s">
        <v>17</v>
      </c>
      <c r="Z130" t="str">
        <f t="shared" ref="Z130:Z193" si="2">X130&amp;Y130</f>
        <v>00000129SI</v>
      </c>
      <c r="AA130" s="11" t="e">
        <f>MATCH(Tabla9[[#This Row],[AUX]],Loockup_ObrasGerencia[[#All],[aux]],0)</f>
        <v>#N/A</v>
      </c>
    </row>
    <row r="131" spans="1:27" x14ac:dyDescent="0.25">
      <c r="A131" s="30" t="s">
        <v>303</v>
      </c>
      <c r="B131" s="30" t="s">
        <v>302</v>
      </c>
      <c r="C131" s="30" t="s">
        <v>17</v>
      </c>
      <c r="D131" s="30" t="str" cm="1">
        <f t="array" ref="D131">UPPER(_xlfn.XLOOKUP(Loockup_ObrasGerencia[[#This Row],[OBRA_PRONTO]],Tabla7[[#All],[Obra]],Tabla7[[#All],[Gerente de obra]],"Sin Obra Asignada",0))</f>
        <v>TRUJILLO</v>
      </c>
      <c r="E131" s="31" t="str">
        <f>Loockup_ObrasGerencia[[#This Row],[OBRA_PRONTO]]&amp;Loockup_ObrasGerencia[[#This Row],[GERENCIA]]</f>
        <v>00000130TRUJILLO</v>
      </c>
      <c r="H131" t="s">
        <v>306</v>
      </c>
      <c r="I131" t="s">
        <v>307</v>
      </c>
      <c r="J131" t="s">
        <v>271</v>
      </c>
      <c r="K131" t="str">
        <f>Tabla7[[#This Row],[Obra]]&amp;Tabla7[[#This Row],[Gerente de obra]]</f>
        <v>00000132Catriel Gisela</v>
      </c>
      <c r="L131">
        <f>MATCH(Tabla7[[#This Row],[AUX]],Loockup_ObrasGerencia[[#All],[aux]],0)</f>
        <v>133</v>
      </c>
      <c r="O131" t="str">
        <f>UPPER(GERENCIAS[[#This Row],[Gerente de obra]])</f>
        <v>CATRIEL GISELA</v>
      </c>
      <c r="R131" t="s">
        <v>338</v>
      </c>
      <c r="S131" t="s">
        <v>339</v>
      </c>
      <c r="T131" t="s">
        <v>243</v>
      </c>
      <c r="W131" s="8" t="s">
        <v>303</v>
      </c>
      <c r="X131" s="8" t="s">
        <v>302</v>
      </c>
      <c r="Y131" s="8" t="s">
        <v>17</v>
      </c>
      <c r="Z131" t="str">
        <f t="shared" si="2"/>
        <v>00000130SI</v>
      </c>
      <c r="AA131" s="11" t="e">
        <f>MATCH(Tabla9[[#This Row],[AUX]],Loockup_ObrasGerencia[[#All],[aux]],0)</f>
        <v>#N/A</v>
      </c>
    </row>
    <row r="132" spans="1:27" x14ac:dyDescent="0.25">
      <c r="A132" s="30" t="s">
        <v>305</v>
      </c>
      <c r="B132" s="30" t="s">
        <v>304</v>
      </c>
      <c r="C132" s="30" t="s">
        <v>17</v>
      </c>
      <c r="D132" s="30" t="str" cm="1">
        <f t="array" ref="D132">UPPER(_xlfn.XLOOKUP(Loockup_ObrasGerencia[[#This Row],[OBRA_PRONTO]],Tabla7[[#All],[Obra]],Tabla7[[#All],[Gerente de obra]],"Sin Obra Asignada",0))</f>
        <v>CATRIEL GISELA</v>
      </c>
      <c r="E132" s="31" t="str">
        <f>Loockup_ObrasGerencia[[#This Row],[OBRA_PRONTO]]&amp;Loockup_ObrasGerencia[[#This Row],[GERENCIA]]</f>
        <v>00000131CATRIEL GISELA</v>
      </c>
      <c r="H132" t="s">
        <v>308</v>
      </c>
      <c r="I132" t="s">
        <v>309</v>
      </c>
      <c r="J132" t="s">
        <v>52</v>
      </c>
      <c r="K132" t="str">
        <f>Tabla7[[#This Row],[Obra]]&amp;Tabla7[[#This Row],[Gerente de obra]]</f>
        <v>00000133Sanchez Oscar</v>
      </c>
      <c r="L132">
        <f>MATCH(Tabla7[[#This Row],[AUX]],Loockup_ObrasGerencia[[#All],[aux]],0)</f>
        <v>134</v>
      </c>
      <c r="O132" t="str">
        <f>UPPER(GERENCIAS[[#This Row],[Gerente de obra]])</f>
        <v>ORTIZ JUAN MANUEL</v>
      </c>
      <c r="R132" t="s">
        <v>340</v>
      </c>
      <c r="S132" t="s">
        <v>341</v>
      </c>
      <c r="T132" t="s">
        <v>19</v>
      </c>
      <c r="W132" s="8" t="s">
        <v>305</v>
      </c>
      <c r="X132" s="8" t="s">
        <v>304</v>
      </c>
      <c r="Y132" s="8" t="s">
        <v>17</v>
      </c>
      <c r="Z132" t="str">
        <f t="shared" si="2"/>
        <v>00000131SI</v>
      </c>
      <c r="AA132" s="11" t="e">
        <f>MATCH(Tabla9[[#This Row],[AUX]],Loockup_ObrasGerencia[[#All],[aux]],0)</f>
        <v>#N/A</v>
      </c>
    </row>
    <row r="133" spans="1:27" x14ac:dyDescent="0.25">
      <c r="A133" s="30" t="s">
        <v>307</v>
      </c>
      <c r="B133" s="30" t="s">
        <v>306</v>
      </c>
      <c r="C133" s="30" t="s">
        <v>17</v>
      </c>
      <c r="D133" s="30" t="str" cm="1">
        <f t="array" ref="D133">UPPER(_xlfn.XLOOKUP(Loockup_ObrasGerencia[[#This Row],[OBRA_PRONTO]],Tabla7[[#All],[Obra]],Tabla7[[#All],[Gerente de obra]],"Sin Obra Asignada",0))</f>
        <v>CATRIEL GISELA</v>
      </c>
      <c r="E133" s="31" t="str">
        <f>Loockup_ObrasGerencia[[#This Row],[OBRA_PRONTO]]&amp;Loockup_ObrasGerencia[[#This Row],[GERENCIA]]</f>
        <v>00000132CATRIEL GISELA</v>
      </c>
      <c r="H133" t="s">
        <v>310</v>
      </c>
      <c r="I133" t="s">
        <v>311</v>
      </c>
      <c r="J133" t="s">
        <v>141</v>
      </c>
      <c r="K133" t="str">
        <f>Tabla7[[#This Row],[Obra]]&amp;Tabla7[[#This Row],[Gerente de obra]]</f>
        <v>00000134Barone Alberto</v>
      </c>
      <c r="L133">
        <f>MATCH(Tabla7[[#This Row],[AUX]],Loockup_ObrasGerencia[[#All],[aux]],0)</f>
        <v>135</v>
      </c>
      <c r="O133" t="str">
        <f>UPPER(GERENCIAS[[#This Row],[Gerente de obra]])</f>
        <v>ORTIZ JUAN MANUEL</v>
      </c>
      <c r="R133" t="s">
        <v>342</v>
      </c>
      <c r="S133" t="s">
        <v>343</v>
      </c>
      <c r="T133" t="s">
        <v>19</v>
      </c>
      <c r="W133" s="8" t="s">
        <v>307</v>
      </c>
      <c r="X133" s="8" t="s">
        <v>306</v>
      </c>
      <c r="Y133" s="8" t="s">
        <v>17</v>
      </c>
      <c r="Z133" t="str">
        <f t="shared" si="2"/>
        <v>00000132SI</v>
      </c>
      <c r="AA133" s="11" t="e">
        <f>MATCH(Tabla9[[#This Row],[AUX]],Loockup_ObrasGerencia[[#All],[aux]],0)</f>
        <v>#N/A</v>
      </c>
    </row>
    <row r="134" spans="1:27" x14ac:dyDescent="0.25">
      <c r="A134" s="30" t="s">
        <v>309</v>
      </c>
      <c r="B134" s="30" t="s">
        <v>308</v>
      </c>
      <c r="C134" s="30" t="s">
        <v>64</v>
      </c>
      <c r="D134" s="30" t="str" cm="1">
        <f t="array" ref="D134">UPPER(_xlfn.XLOOKUP(Loockup_ObrasGerencia[[#This Row],[OBRA_PRONTO]],Tabla7[[#All],[Obra]],Tabla7[[#All],[Gerente de obra]],"Sin Obra Asignada",0))</f>
        <v>SANCHEZ OSCAR</v>
      </c>
      <c r="E134" s="31" t="str">
        <f>Loockup_ObrasGerencia[[#This Row],[OBRA_PRONTO]]&amp;Loockup_ObrasGerencia[[#This Row],[GERENCIA]]</f>
        <v>00000133SANCHEZ OSCAR</v>
      </c>
      <c r="H134" t="s">
        <v>312</v>
      </c>
      <c r="I134" t="s">
        <v>313</v>
      </c>
      <c r="J134" t="s">
        <v>79</v>
      </c>
      <c r="K134" t="str">
        <f>Tabla7[[#This Row],[Obra]]&amp;Tabla7[[#This Row],[Gerente de obra]]</f>
        <v>00000135Francisco Di Lisio</v>
      </c>
      <c r="L134">
        <f>MATCH(Tabla7[[#This Row],[AUX]],Loockup_ObrasGerencia[[#All],[aux]],0)</f>
        <v>136</v>
      </c>
      <c r="O134" t="str">
        <f>UPPER(GERENCIAS[[#This Row],[Gerente de obra]])</f>
        <v>TRUJILLO</v>
      </c>
      <c r="R134" t="s">
        <v>344</v>
      </c>
      <c r="S134" t="s">
        <v>345</v>
      </c>
      <c r="T134" t="s">
        <v>25</v>
      </c>
      <c r="W134" s="8" t="s">
        <v>309</v>
      </c>
      <c r="X134" s="8" t="s">
        <v>308</v>
      </c>
      <c r="Y134" s="8" t="s">
        <v>64</v>
      </c>
      <c r="Z134" t="str">
        <f t="shared" si="2"/>
        <v>00000133ADMINISTRACION</v>
      </c>
      <c r="AA134" s="11" t="e">
        <f>MATCH(Tabla9[[#This Row],[AUX]],Loockup_ObrasGerencia[[#All],[aux]],0)</f>
        <v>#N/A</v>
      </c>
    </row>
    <row r="135" spans="1:27" x14ac:dyDescent="0.25">
      <c r="A135" s="30" t="s">
        <v>311</v>
      </c>
      <c r="B135" s="30" t="s">
        <v>310</v>
      </c>
      <c r="C135" s="30" t="s">
        <v>17</v>
      </c>
      <c r="D135" s="30" t="str" cm="1">
        <f t="array" ref="D135">UPPER(_xlfn.XLOOKUP(Loockup_ObrasGerencia[[#This Row],[OBRA_PRONTO]],Tabla7[[#All],[Obra]],Tabla7[[#All],[Gerente de obra]],"Sin Obra Asignada",0))</f>
        <v>BARONE ALBERTO</v>
      </c>
      <c r="E135" s="31" t="str">
        <f>Loockup_ObrasGerencia[[#This Row],[OBRA_PRONTO]]&amp;Loockup_ObrasGerencia[[#This Row],[GERENCIA]]</f>
        <v>00000134BARONE ALBERTO</v>
      </c>
      <c r="H135" t="s">
        <v>314</v>
      </c>
      <c r="I135" t="s">
        <v>315</v>
      </c>
      <c r="J135" t="s">
        <v>18</v>
      </c>
      <c r="K135" t="str">
        <f>Tabla7[[#This Row],[Obra]]&amp;Tabla7[[#This Row],[Gerente de obra]]</f>
        <v>00000136Ortiz Juan Manuel</v>
      </c>
      <c r="L135">
        <f>MATCH(Tabla7[[#This Row],[AUX]],Loockup_ObrasGerencia[[#All],[aux]],0)</f>
        <v>137</v>
      </c>
      <c r="O135" t="str">
        <f>UPPER(GERENCIAS[[#This Row],[Gerente de obra]])</f>
        <v>METZLER JAVIER</v>
      </c>
      <c r="R135" t="s">
        <v>346</v>
      </c>
      <c r="S135" t="s">
        <v>347</v>
      </c>
      <c r="T135" t="s">
        <v>68</v>
      </c>
      <c r="W135" s="8" t="s">
        <v>311</v>
      </c>
      <c r="X135" s="8" t="s">
        <v>310</v>
      </c>
      <c r="Y135" s="8" t="s">
        <v>17</v>
      </c>
      <c r="Z135" t="str">
        <f t="shared" si="2"/>
        <v>00000134SI</v>
      </c>
      <c r="AA135" s="11" t="e">
        <f>MATCH(Tabla9[[#This Row],[AUX]],Loockup_ObrasGerencia[[#All],[aux]],0)</f>
        <v>#N/A</v>
      </c>
    </row>
    <row r="136" spans="1:27" x14ac:dyDescent="0.25">
      <c r="A136" s="30" t="s">
        <v>313</v>
      </c>
      <c r="B136" s="30" t="s">
        <v>312</v>
      </c>
      <c r="C136" s="30" t="s">
        <v>270</v>
      </c>
      <c r="D136" s="30" t="str" cm="1">
        <f t="array" ref="D136">UPPER(_xlfn.XLOOKUP(Loockup_ObrasGerencia[[#This Row],[OBRA_PRONTO]],Tabla7[[#All],[Obra]],Tabla7[[#All],[Gerente de obra]],"Sin Obra Asignada",0))</f>
        <v>FRANCISCO DI LISIO</v>
      </c>
      <c r="E136" s="31" t="str">
        <f>Loockup_ObrasGerencia[[#This Row],[OBRA_PRONTO]]&amp;Loockup_ObrasGerencia[[#This Row],[GERENCIA]]</f>
        <v>00000135FRANCISCO DI LISIO</v>
      </c>
      <c r="H136" t="s">
        <v>316</v>
      </c>
      <c r="I136" t="s">
        <v>317</v>
      </c>
      <c r="J136" t="s">
        <v>79</v>
      </c>
      <c r="K136" t="str">
        <f>Tabla7[[#This Row],[Obra]]&amp;Tabla7[[#This Row],[Gerente de obra]]</f>
        <v>00000137Francisco Di Lisio</v>
      </c>
      <c r="L136">
        <f>MATCH(Tabla7[[#This Row],[AUX]],Loockup_ObrasGerencia[[#All],[aux]],0)</f>
        <v>138</v>
      </c>
      <c r="O136" t="str">
        <f>UPPER(GERENCIAS[[#This Row],[Gerente de obra]])</f>
        <v>ORTIZ JUAN MANUEL</v>
      </c>
      <c r="R136" t="s">
        <v>348</v>
      </c>
      <c r="S136" t="s">
        <v>349</v>
      </c>
      <c r="T136" t="s">
        <v>19</v>
      </c>
      <c r="W136" s="8" t="s">
        <v>313</v>
      </c>
      <c r="X136" s="8" t="s">
        <v>312</v>
      </c>
      <c r="Y136" s="8" t="s">
        <v>270</v>
      </c>
      <c r="Z136" t="str">
        <f t="shared" si="2"/>
        <v>00000135ACTIVOS</v>
      </c>
      <c r="AA136" s="11" t="e">
        <f>MATCH(Tabla9[[#This Row],[AUX]],Loockup_ObrasGerencia[[#All],[aux]],0)</f>
        <v>#N/A</v>
      </c>
    </row>
    <row r="137" spans="1:27" x14ac:dyDescent="0.25">
      <c r="A137" s="30" t="s">
        <v>315</v>
      </c>
      <c r="B137" s="30" t="s">
        <v>314</v>
      </c>
      <c r="C137" s="30" t="s">
        <v>17</v>
      </c>
      <c r="D137" s="30" t="str" cm="1">
        <f t="array" ref="D137">UPPER(_xlfn.XLOOKUP(Loockup_ObrasGerencia[[#This Row],[OBRA_PRONTO]],Tabla7[[#All],[Obra]],Tabla7[[#All],[Gerente de obra]],"Sin Obra Asignada",0))</f>
        <v>ORTIZ JUAN MANUEL</v>
      </c>
      <c r="E137" s="31" t="str">
        <f>Loockup_ObrasGerencia[[#This Row],[OBRA_PRONTO]]&amp;Loockup_ObrasGerencia[[#This Row],[GERENCIA]]</f>
        <v>00000136ORTIZ JUAN MANUEL</v>
      </c>
      <c r="H137" t="s">
        <v>320</v>
      </c>
      <c r="I137" t="s">
        <v>321</v>
      </c>
      <c r="J137" t="s">
        <v>141</v>
      </c>
      <c r="K137" t="str">
        <f>Tabla7[[#This Row],[Obra]]&amp;Tabla7[[#This Row],[Gerente de obra]]</f>
        <v>00000138Barone Alberto</v>
      </c>
      <c r="L137">
        <f>MATCH(Tabla7[[#This Row],[AUX]],Loockup_ObrasGerencia[[#All],[aux]],0)</f>
        <v>139</v>
      </c>
      <c r="O137" t="str">
        <f>UPPER(GERENCIAS[[#This Row],[Gerente de obra]])</f>
        <v>ORTIZ JUAN MANUEL</v>
      </c>
      <c r="R137" t="s">
        <v>350</v>
      </c>
      <c r="S137" t="s">
        <v>351</v>
      </c>
      <c r="T137" t="s">
        <v>19</v>
      </c>
      <c r="W137" s="8" t="s">
        <v>315</v>
      </c>
      <c r="X137" s="8" t="s">
        <v>314</v>
      </c>
      <c r="Y137" s="8" t="s">
        <v>17</v>
      </c>
      <c r="Z137" t="str">
        <f t="shared" si="2"/>
        <v>00000136SI</v>
      </c>
      <c r="AA137" s="11" t="e">
        <f>MATCH(Tabla9[[#This Row],[AUX]],Loockup_ObrasGerencia[[#All],[aux]],0)</f>
        <v>#N/A</v>
      </c>
    </row>
    <row r="138" spans="1:27" x14ac:dyDescent="0.25">
      <c r="A138" s="30" t="s">
        <v>317</v>
      </c>
      <c r="B138" s="30" t="s">
        <v>316</v>
      </c>
      <c r="C138" s="30" t="s">
        <v>17</v>
      </c>
      <c r="D138" s="30" t="str" cm="1">
        <f t="array" ref="D138">UPPER(_xlfn.XLOOKUP(Loockup_ObrasGerencia[[#This Row],[OBRA_PRONTO]],Tabla7[[#All],[Obra]],Tabla7[[#All],[Gerente de obra]],"Sin Obra Asignada",0))</f>
        <v>FRANCISCO DI LISIO</v>
      </c>
      <c r="E138" s="31" t="str">
        <f>Loockup_ObrasGerencia[[#This Row],[OBRA_PRONTO]]&amp;Loockup_ObrasGerencia[[#This Row],[GERENCIA]]</f>
        <v>00000137FRANCISCO DI LISIO</v>
      </c>
      <c r="H138" t="s">
        <v>322</v>
      </c>
      <c r="I138" t="s">
        <v>323</v>
      </c>
      <c r="J138" t="s">
        <v>141</v>
      </c>
      <c r="K138" t="str">
        <f>Tabla7[[#This Row],[Obra]]&amp;Tabla7[[#This Row],[Gerente de obra]]</f>
        <v>00000139Barone Alberto</v>
      </c>
      <c r="L138">
        <f>MATCH(Tabla7[[#This Row],[AUX]],Loockup_ObrasGerencia[[#All],[aux]],0)</f>
        <v>140</v>
      </c>
      <c r="O138" t="str">
        <f>UPPER(GERENCIAS[[#This Row],[Gerente de obra]])</f>
        <v>CATRIEL GISELA</v>
      </c>
      <c r="R138" t="s">
        <v>352</v>
      </c>
      <c r="S138" t="s">
        <v>353</v>
      </c>
      <c r="T138" t="s">
        <v>243</v>
      </c>
      <c r="W138" s="8" t="s">
        <v>317</v>
      </c>
      <c r="X138" s="8" t="s">
        <v>316</v>
      </c>
      <c r="Y138" s="8" t="s">
        <v>17</v>
      </c>
      <c r="Z138" t="str">
        <f t="shared" si="2"/>
        <v>00000137SI</v>
      </c>
      <c r="AA138" s="11" t="e">
        <f>MATCH(Tabla9[[#This Row],[AUX]],Loockup_ObrasGerencia[[#All],[aux]],0)</f>
        <v>#N/A</v>
      </c>
    </row>
    <row r="139" spans="1:27" x14ac:dyDescent="0.25">
      <c r="A139" s="30" t="s">
        <v>321</v>
      </c>
      <c r="B139" s="30" t="s">
        <v>320</v>
      </c>
      <c r="C139" s="30" t="s">
        <v>17</v>
      </c>
      <c r="D139" s="30" t="str" cm="1">
        <f t="array" ref="D139">UPPER(_xlfn.XLOOKUP(Loockup_ObrasGerencia[[#This Row],[OBRA_PRONTO]],Tabla7[[#All],[Obra]],Tabla7[[#All],[Gerente de obra]],"Sin Obra Asignada",0))</f>
        <v>BARONE ALBERTO</v>
      </c>
      <c r="E139" s="31" t="str">
        <f>Loockup_ObrasGerencia[[#This Row],[OBRA_PRONTO]]&amp;Loockup_ObrasGerencia[[#This Row],[GERENCIA]]</f>
        <v>00000138BARONE ALBERTO</v>
      </c>
      <c r="H139" t="s">
        <v>354</v>
      </c>
      <c r="I139" t="s">
        <v>355</v>
      </c>
      <c r="J139" t="s">
        <v>1401</v>
      </c>
      <c r="K139" t="str">
        <f>Tabla7[[#This Row],[Obra]]&amp;Tabla7[[#This Row],[Gerente de obra]]</f>
        <v>00000140SIN ASIGNACION</v>
      </c>
      <c r="L139">
        <f>MATCH(Tabla7[[#This Row],[AUX]],Loockup_ObrasGerencia[[#All],[aux]],0)</f>
        <v>141</v>
      </c>
      <c r="O139" t="str">
        <f>UPPER(GERENCIAS[[#This Row],[Gerente de obra]])</f>
        <v>CATRIEL GISELA</v>
      </c>
      <c r="R139" t="s">
        <v>356</v>
      </c>
      <c r="S139" t="s">
        <v>357</v>
      </c>
      <c r="T139" t="s">
        <v>243</v>
      </c>
      <c r="W139" s="8" t="s">
        <v>321</v>
      </c>
      <c r="X139" s="8" t="s">
        <v>320</v>
      </c>
      <c r="Y139" s="8" t="s">
        <v>17</v>
      </c>
      <c r="Z139" t="str">
        <f t="shared" si="2"/>
        <v>00000138SI</v>
      </c>
      <c r="AA139" s="11" t="e">
        <f>MATCH(Tabla9[[#This Row],[AUX]],Loockup_ObrasGerencia[[#All],[aux]],0)</f>
        <v>#N/A</v>
      </c>
    </row>
    <row r="140" spans="1:27" x14ac:dyDescent="0.25">
      <c r="A140" s="30" t="s">
        <v>323</v>
      </c>
      <c r="B140" s="30" t="s">
        <v>322</v>
      </c>
      <c r="C140" s="30" t="s">
        <v>17</v>
      </c>
      <c r="D140" s="30" t="str" cm="1">
        <f t="array" ref="D140">UPPER(_xlfn.XLOOKUP(Loockup_ObrasGerencia[[#This Row],[OBRA_PRONTO]],Tabla7[[#All],[Obra]],Tabla7[[#All],[Gerente de obra]],"Sin Obra Asignada",0))</f>
        <v>BARONE ALBERTO</v>
      </c>
      <c r="E140" s="31" t="str">
        <f>Loockup_ObrasGerencia[[#This Row],[OBRA_PRONTO]]&amp;Loockup_ObrasGerencia[[#This Row],[GERENCIA]]</f>
        <v>00000139BARONE ALBERTO</v>
      </c>
      <c r="H140" t="s">
        <v>324</v>
      </c>
      <c r="I140" t="s">
        <v>325</v>
      </c>
      <c r="J140" t="s">
        <v>18</v>
      </c>
      <c r="K140" t="str">
        <f>Tabla7[[#This Row],[Obra]]&amp;Tabla7[[#This Row],[Gerente de obra]]</f>
        <v>00000141Ortiz Juan Manuel</v>
      </c>
      <c r="L140">
        <f>MATCH(Tabla7[[#This Row],[AUX]],Loockup_ObrasGerencia[[#All],[aux]],0)</f>
        <v>142</v>
      </c>
      <c r="O140" t="str">
        <f>UPPER(GERENCIAS[[#This Row],[Gerente de obra]])</f>
        <v>CATRIEL GISELA</v>
      </c>
      <c r="R140" t="s">
        <v>358</v>
      </c>
      <c r="S140" t="s">
        <v>359</v>
      </c>
      <c r="T140" t="s">
        <v>243</v>
      </c>
      <c r="W140" s="8" t="s">
        <v>323</v>
      </c>
      <c r="X140" s="8" t="s">
        <v>322</v>
      </c>
      <c r="Y140" s="8" t="s">
        <v>17</v>
      </c>
      <c r="Z140" t="str">
        <f t="shared" si="2"/>
        <v>00000139SI</v>
      </c>
      <c r="AA140" s="11" t="e">
        <f>MATCH(Tabla9[[#This Row],[AUX]],Loockup_ObrasGerencia[[#All],[aux]],0)</f>
        <v>#N/A</v>
      </c>
    </row>
    <row r="141" spans="1:27" x14ac:dyDescent="0.25">
      <c r="A141" s="30" t="s">
        <v>355</v>
      </c>
      <c r="B141" s="30" t="s">
        <v>354</v>
      </c>
      <c r="C141" s="30" t="s">
        <v>17</v>
      </c>
      <c r="D141" s="30" t="str" cm="1">
        <f t="array" ref="D141">UPPER(_xlfn.XLOOKUP(Loockup_ObrasGerencia[[#This Row],[OBRA_PRONTO]],Tabla7[[#All],[Obra]],Tabla7[[#All],[Gerente de obra]],"Sin Obra Asignada",0))</f>
        <v>SIN ASIGNACION</v>
      </c>
      <c r="E141" s="31" t="str">
        <f>Loockup_ObrasGerencia[[#This Row],[OBRA_PRONTO]]&amp;Loockup_ObrasGerencia[[#This Row],[GERENCIA]]</f>
        <v>00000140SIN ASIGNACION</v>
      </c>
      <c r="H141" t="s">
        <v>326</v>
      </c>
      <c r="I141" t="s">
        <v>327</v>
      </c>
      <c r="J141" t="s">
        <v>18</v>
      </c>
      <c r="K141" t="str">
        <f>Tabla7[[#This Row],[Obra]]&amp;Tabla7[[#This Row],[Gerente de obra]]</f>
        <v>00000142Ortiz Juan Manuel</v>
      </c>
      <c r="L141">
        <f>MATCH(Tabla7[[#This Row],[AUX]],Loockup_ObrasGerencia[[#All],[aux]],0)</f>
        <v>143</v>
      </c>
      <c r="O141" t="str">
        <f>UPPER(GERENCIAS[[#This Row],[Gerente de obra]])</f>
        <v>CATRIEL GISELA</v>
      </c>
      <c r="R141" t="s">
        <v>360</v>
      </c>
      <c r="S141" t="s">
        <v>361</v>
      </c>
      <c r="T141" t="s">
        <v>243</v>
      </c>
      <c r="W141" s="8" t="s">
        <v>355</v>
      </c>
      <c r="X141" s="8" t="s">
        <v>354</v>
      </c>
      <c r="Y141" s="8" t="s">
        <v>17</v>
      </c>
      <c r="Z141" t="str">
        <f t="shared" si="2"/>
        <v>00000140SI</v>
      </c>
      <c r="AA141" s="11" t="e">
        <f>MATCH(Tabla9[[#This Row],[AUX]],Loockup_ObrasGerencia[[#All],[aux]],0)</f>
        <v>#N/A</v>
      </c>
    </row>
    <row r="142" spans="1:27" x14ac:dyDescent="0.25">
      <c r="A142" s="30" t="s">
        <v>325</v>
      </c>
      <c r="B142" s="30" t="s">
        <v>324</v>
      </c>
      <c r="C142" s="30" t="s">
        <v>17</v>
      </c>
      <c r="D142" s="30" t="str" cm="1">
        <f t="array" ref="D142">UPPER(_xlfn.XLOOKUP(Loockup_ObrasGerencia[[#This Row],[OBRA_PRONTO]],Tabla7[[#All],[Obra]],Tabla7[[#All],[Gerente de obra]],"Sin Obra Asignada",0))</f>
        <v>ORTIZ JUAN MANUEL</v>
      </c>
      <c r="E142" s="31" t="str">
        <f>Loockup_ObrasGerencia[[#This Row],[OBRA_PRONTO]]&amp;Loockup_ObrasGerencia[[#This Row],[GERENCIA]]</f>
        <v>00000141ORTIZ JUAN MANUEL</v>
      </c>
      <c r="H142" t="s">
        <v>330</v>
      </c>
      <c r="I142" t="s">
        <v>331</v>
      </c>
      <c r="J142" t="s">
        <v>18</v>
      </c>
      <c r="K142" t="str">
        <f>Tabla7[[#This Row],[Obra]]&amp;Tabla7[[#This Row],[Gerente de obra]]</f>
        <v>00000143Ortiz Juan Manuel</v>
      </c>
      <c r="L142">
        <f>MATCH(Tabla7[[#This Row],[AUX]],Loockup_ObrasGerencia[[#All],[aux]],0)</f>
        <v>144</v>
      </c>
      <c r="O142" t="str">
        <f>UPPER(GERENCIAS[[#This Row],[Gerente de obra]])</f>
        <v>FRANCISCO DI LISIO</v>
      </c>
      <c r="R142" t="s">
        <v>362</v>
      </c>
      <c r="S142" t="s">
        <v>363</v>
      </c>
      <c r="T142" t="s">
        <v>78</v>
      </c>
      <c r="W142" s="8" t="s">
        <v>325</v>
      </c>
      <c r="X142" s="8" t="s">
        <v>324</v>
      </c>
      <c r="Y142" s="8" t="s">
        <v>17</v>
      </c>
      <c r="Z142" t="str">
        <f t="shared" si="2"/>
        <v>00000141SI</v>
      </c>
      <c r="AA142" s="11" t="e">
        <f>MATCH(Tabla9[[#This Row],[AUX]],Loockup_ObrasGerencia[[#All],[aux]],0)</f>
        <v>#N/A</v>
      </c>
    </row>
    <row r="143" spans="1:27" x14ac:dyDescent="0.25">
      <c r="A143" s="30" t="s">
        <v>327</v>
      </c>
      <c r="B143" s="30" t="s">
        <v>326</v>
      </c>
      <c r="C143" s="30" t="s">
        <v>17</v>
      </c>
      <c r="D143" s="30" t="str" cm="1">
        <f t="array" ref="D143">UPPER(_xlfn.XLOOKUP(Loockup_ObrasGerencia[[#This Row],[OBRA_PRONTO]],Tabla7[[#All],[Obra]],Tabla7[[#All],[Gerente de obra]],"Sin Obra Asignada",0))</f>
        <v>ORTIZ JUAN MANUEL</v>
      </c>
      <c r="E143" s="31" t="str">
        <f>Loockup_ObrasGerencia[[#This Row],[OBRA_PRONTO]]&amp;Loockup_ObrasGerencia[[#This Row],[GERENCIA]]</f>
        <v>00000142ORTIZ JUAN MANUEL</v>
      </c>
      <c r="H143" t="s">
        <v>332</v>
      </c>
      <c r="I143" t="s">
        <v>333</v>
      </c>
      <c r="J143" t="s">
        <v>271</v>
      </c>
      <c r="K143" t="str">
        <f>Tabla7[[#This Row],[Obra]]&amp;Tabla7[[#This Row],[Gerente de obra]]</f>
        <v>00000144Catriel Gisela</v>
      </c>
      <c r="L143">
        <f>MATCH(Tabla7[[#This Row],[AUX]],Loockup_ObrasGerencia[[#All],[aux]],0)</f>
        <v>145</v>
      </c>
      <c r="O143" t="str">
        <f>UPPER(GERENCIAS[[#This Row],[Gerente de obra]])</f>
        <v>FRANCISCO DI LISIO</v>
      </c>
      <c r="R143" t="s">
        <v>364</v>
      </c>
      <c r="S143" t="s">
        <v>365</v>
      </c>
      <c r="T143" t="s">
        <v>78</v>
      </c>
      <c r="W143" s="8" t="s">
        <v>327</v>
      </c>
      <c r="X143" s="8" t="s">
        <v>326</v>
      </c>
      <c r="Y143" s="8" t="s">
        <v>17</v>
      </c>
      <c r="Z143" t="str">
        <f t="shared" si="2"/>
        <v>00000142SI</v>
      </c>
      <c r="AA143" s="11" t="e">
        <f>MATCH(Tabla9[[#This Row],[AUX]],Loockup_ObrasGerencia[[#All],[aux]],0)</f>
        <v>#N/A</v>
      </c>
    </row>
    <row r="144" spans="1:27" x14ac:dyDescent="0.25">
      <c r="A144" s="30" t="s">
        <v>331</v>
      </c>
      <c r="B144" s="30" t="s">
        <v>330</v>
      </c>
      <c r="C144" s="30" t="s">
        <v>17</v>
      </c>
      <c r="D144" s="30" t="str" cm="1">
        <f t="array" ref="D144">UPPER(_xlfn.XLOOKUP(Loockup_ObrasGerencia[[#This Row],[OBRA_PRONTO]],Tabla7[[#All],[Obra]],Tabla7[[#All],[Gerente de obra]],"Sin Obra Asignada",0))</f>
        <v>ORTIZ JUAN MANUEL</v>
      </c>
      <c r="E144" s="31" t="str">
        <f>Loockup_ObrasGerencia[[#This Row],[OBRA_PRONTO]]&amp;Loockup_ObrasGerencia[[#This Row],[GERENCIA]]</f>
        <v>00000143ORTIZ JUAN MANUEL</v>
      </c>
      <c r="H144" t="s">
        <v>334</v>
      </c>
      <c r="I144" t="s">
        <v>335</v>
      </c>
      <c r="J144" t="s">
        <v>69</v>
      </c>
      <c r="K144" t="str">
        <f>Tabla7[[#This Row],[Obra]]&amp;Tabla7[[#This Row],[Gerente de obra]]</f>
        <v>00000145Metzler Javier</v>
      </c>
      <c r="L144">
        <f>MATCH(Tabla7[[#This Row],[AUX]],Loockup_ObrasGerencia[[#All],[aux]],0)</f>
        <v>146</v>
      </c>
      <c r="O144" t="str">
        <f>UPPER(GERENCIAS[[#This Row],[Gerente de obra]])</f>
        <v>GONZALO SILVA</v>
      </c>
      <c r="R144" t="s">
        <v>366</v>
      </c>
      <c r="S144" t="s">
        <v>367</v>
      </c>
      <c r="T144" t="s">
        <v>368</v>
      </c>
      <c r="W144" s="8" t="s">
        <v>331</v>
      </c>
      <c r="X144" s="8" t="s">
        <v>330</v>
      </c>
      <c r="Y144" s="8" t="s">
        <v>17</v>
      </c>
      <c r="Z144" t="str">
        <f t="shared" si="2"/>
        <v>00000143SI</v>
      </c>
      <c r="AA144" s="11" t="e">
        <f>MATCH(Tabla9[[#This Row],[AUX]],Loockup_ObrasGerencia[[#All],[aux]],0)</f>
        <v>#N/A</v>
      </c>
    </row>
    <row r="145" spans="1:27" x14ac:dyDescent="0.25">
      <c r="A145" s="30" t="s">
        <v>333</v>
      </c>
      <c r="B145" s="30" t="s">
        <v>332</v>
      </c>
      <c r="C145" s="30" t="s">
        <v>17</v>
      </c>
      <c r="D145" s="30" t="str" cm="1">
        <f t="array" ref="D145">UPPER(_xlfn.XLOOKUP(Loockup_ObrasGerencia[[#This Row],[OBRA_PRONTO]],Tabla7[[#All],[Obra]],Tabla7[[#All],[Gerente de obra]],"Sin Obra Asignada",0))</f>
        <v>CATRIEL GISELA</v>
      </c>
      <c r="E145" s="31" t="str">
        <f>Loockup_ObrasGerencia[[#This Row],[OBRA_PRONTO]]&amp;Loockup_ObrasGerencia[[#This Row],[GERENCIA]]</f>
        <v>00000144CATRIEL GISELA</v>
      </c>
      <c r="H145" t="s">
        <v>336</v>
      </c>
      <c r="I145" t="s">
        <v>337</v>
      </c>
      <c r="J145" t="s">
        <v>79</v>
      </c>
      <c r="K145" t="str">
        <f>Tabla7[[#This Row],[Obra]]&amp;Tabla7[[#This Row],[Gerente de obra]]</f>
        <v>00000146Francisco Di Lisio</v>
      </c>
      <c r="L145">
        <f>MATCH(Tabla7[[#This Row],[AUX]],Loockup_ObrasGerencia[[#All],[aux]],0)</f>
        <v>147</v>
      </c>
      <c r="O145" t="str">
        <f>UPPER(GERENCIAS[[#This Row],[Gerente de obra]])</f>
        <v>GONZALO SILVA</v>
      </c>
      <c r="R145" t="s">
        <v>369</v>
      </c>
      <c r="S145" t="s">
        <v>370</v>
      </c>
      <c r="T145" t="s">
        <v>368</v>
      </c>
      <c r="W145" s="8" t="s">
        <v>333</v>
      </c>
      <c r="X145" s="8" t="s">
        <v>332</v>
      </c>
      <c r="Y145" s="8" t="s">
        <v>17</v>
      </c>
      <c r="Z145" t="str">
        <f t="shared" si="2"/>
        <v>00000144SI</v>
      </c>
      <c r="AA145" s="11" t="e">
        <f>MATCH(Tabla9[[#This Row],[AUX]],Loockup_ObrasGerencia[[#All],[aux]],0)</f>
        <v>#N/A</v>
      </c>
    </row>
    <row r="146" spans="1:27" x14ac:dyDescent="0.25">
      <c r="A146" s="30" t="s">
        <v>335</v>
      </c>
      <c r="B146" s="30" t="s">
        <v>334</v>
      </c>
      <c r="C146" s="30" t="s">
        <v>17</v>
      </c>
      <c r="D146" s="30" t="str" cm="1">
        <f t="array" ref="D146">UPPER(_xlfn.XLOOKUP(Loockup_ObrasGerencia[[#This Row],[OBRA_PRONTO]],Tabla7[[#All],[Obra]],Tabla7[[#All],[Gerente de obra]],"Sin Obra Asignada",0))</f>
        <v>METZLER JAVIER</v>
      </c>
      <c r="E146" s="31" t="str">
        <f>Loockup_ObrasGerencia[[#This Row],[OBRA_PRONTO]]&amp;Loockup_ObrasGerencia[[#This Row],[GERENCIA]]</f>
        <v>00000145METZLER JAVIER</v>
      </c>
      <c r="H146" t="s">
        <v>338</v>
      </c>
      <c r="I146" t="s">
        <v>339</v>
      </c>
      <c r="J146" t="s">
        <v>271</v>
      </c>
      <c r="K146" t="str">
        <f>Tabla7[[#This Row],[Obra]]&amp;Tabla7[[#This Row],[Gerente de obra]]</f>
        <v>00000147Catriel Gisela</v>
      </c>
      <c r="L146">
        <f>MATCH(Tabla7[[#This Row],[AUX]],Loockup_ObrasGerencia[[#All],[aux]],0)</f>
        <v>148</v>
      </c>
      <c r="O146" t="str">
        <f>UPPER(GERENCIAS[[#This Row],[Gerente de obra]])</f>
        <v>CATRIEL GISELA</v>
      </c>
      <c r="R146" t="s">
        <v>371</v>
      </c>
      <c r="S146" t="s">
        <v>372</v>
      </c>
      <c r="T146" t="s">
        <v>243</v>
      </c>
      <c r="W146" s="8" t="s">
        <v>335</v>
      </c>
      <c r="X146" s="8" t="s">
        <v>334</v>
      </c>
      <c r="Y146" s="8" t="s">
        <v>17</v>
      </c>
      <c r="Z146" t="str">
        <f t="shared" si="2"/>
        <v>00000145SI</v>
      </c>
      <c r="AA146" s="11" t="e">
        <f>MATCH(Tabla9[[#This Row],[AUX]],Loockup_ObrasGerencia[[#All],[aux]],0)</f>
        <v>#N/A</v>
      </c>
    </row>
    <row r="147" spans="1:27" x14ac:dyDescent="0.25">
      <c r="A147" s="30" t="s">
        <v>337</v>
      </c>
      <c r="B147" s="30" t="s">
        <v>336</v>
      </c>
      <c r="C147" s="30" t="s">
        <v>17</v>
      </c>
      <c r="D147" s="30" t="str" cm="1">
        <f t="array" ref="D147">UPPER(_xlfn.XLOOKUP(Loockup_ObrasGerencia[[#This Row],[OBRA_PRONTO]],Tabla7[[#All],[Obra]],Tabla7[[#All],[Gerente de obra]],"Sin Obra Asignada",0))</f>
        <v>FRANCISCO DI LISIO</v>
      </c>
      <c r="E147" s="31" t="str">
        <f>Loockup_ObrasGerencia[[#This Row],[OBRA_PRONTO]]&amp;Loockup_ObrasGerencia[[#This Row],[GERENCIA]]</f>
        <v>00000146FRANCISCO DI LISIO</v>
      </c>
      <c r="H147" t="s">
        <v>340</v>
      </c>
      <c r="I147" t="s">
        <v>341</v>
      </c>
      <c r="J147" t="s">
        <v>18</v>
      </c>
      <c r="K147" t="str">
        <f>Tabla7[[#This Row],[Obra]]&amp;Tabla7[[#This Row],[Gerente de obra]]</f>
        <v>00000148Ortiz Juan Manuel</v>
      </c>
      <c r="L147">
        <f>MATCH(Tabla7[[#This Row],[AUX]],Loockup_ObrasGerencia[[#All],[aux]],0)</f>
        <v>149</v>
      </c>
      <c r="O147" t="str">
        <f>UPPER(GERENCIAS[[#This Row],[Gerente de obra]])</f>
        <v>CATRIEL GISELA</v>
      </c>
      <c r="R147" t="s">
        <v>373</v>
      </c>
      <c r="S147" t="s">
        <v>374</v>
      </c>
      <c r="T147" t="s">
        <v>243</v>
      </c>
      <c r="W147" s="8" t="s">
        <v>337</v>
      </c>
      <c r="X147" s="8" t="s">
        <v>336</v>
      </c>
      <c r="Y147" s="8" t="s">
        <v>17</v>
      </c>
      <c r="Z147" t="str">
        <f t="shared" si="2"/>
        <v>00000146SI</v>
      </c>
      <c r="AA147" s="11" t="e">
        <f>MATCH(Tabla9[[#This Row],[AUX]],Loockup_ObrasGerencia[[#All],[aux]],0)</f>
        <v>#N/A</v>
      </c>
    </row>
    <row r="148" spans="1:27" x14ac:dyDescent="0.25">
      <c r="A148" s="30" t="s">
        <v>339</v>
      </c>
      <c r="B148" s="30" t="s">
        <v>338</v>
      </c>
      <c r="C148" s="30" t="s">
        <v>17</v>
      </c>
      <c r="D148" s="30" t="str" cm="1">
        <f t="array" ref="D148">UPPER(_xlfn.XLOOKUP(Loockup_ObrasGerencia[[#This Row],[OBRA_PRONTO]],Tabla7[[#All],[Obra]],Tabla7[[#All],[Gerente de obra]],"Sin Obra Asignada",0))</f>
        <v>CATRIEL GISELA</v>
      </c>
      <c r="E148" s="31" t="str">
        <f>Loockup_ObrasGerencia[[#This Row],[OBRA_PRONTO]]&amp;Loockup_ObrasGerencia[[#This Row],[GERENCIA]]</f>
        <v>00000147CATRIEL GISELA</v>
      </c>
      <c r="H148" t="s">
        <v>342</v>
      </c>
      <c r="I148" t="s">
        <v>343</v>
      </c>
      <c r="J148" t="s">
        <v>18</v>
      </c>
      <c r="K148" t="str">
        <f>Tabla7[[#This Row],[Obra]]&amp;Tabla7[[#This Row],[Gerente de obra]]</f>
        <v>00000149Ortiz Juan Manuel</v>
      </c>
      <c r="L148">
        <f>MATCH(Tabla7[[#This Row],[AUX]],Loockup_ObrasGerencia[[#All],[aux]],0)</f>
        <v>150</v>
      </c>
      <c r="O148" t="str">
        <f>UPPER(GERENCIAS[[#This Row],[Gerente de obra]])</f>
        <v>BARONE ALBERTO</v>
      </c>
      <c r="R148" t="s">
        <v>375</v>
      </c>
      <c r="S148" t="s">
        <v>376</v>
      </c>
      <c r="T148" t="s">
        <v>132</v>
      </c>
      <c r="W148" s="8" t="s">
        <v>339</v>
      </c>
      <c r="X148" s="8" t="s">
        <v>338</v>
      </c>
      <c r="Y148" s="8" t="s">
        <v>17</v>
      </c>
      <c r="Z148" t="str">
        <f t="shared" si="2"/>
        <v>00000147SI</v>
      </c>
      <c r="AA148" s="11" t="e">
        <f>MATCH(Tabla9[[#This Row],[AUX]],Loockup_ObrasGerencia[[#All],[aux]],0)</f>
        <v>#N/A</v>
      </c>
    </row>
    <row r="149" spans="1:27" x14ac:dyDescent="0.25">
      <c r="A149" s="30" t="s">
        <v>341</v>
      </c>
      <c r="B149" s="30" t="s">
        <v>340</v>
      </c>
      <c r="C149" s="30" t="s">
        <v>17</v>
      </c>
      <c r="D149" s="30" t="str" cm="1">
        <f t="array" ref="D149">UPPER(_xlfn.XLOOKUP(Loockup_ObrasGerencia[[#This Row],[OBRA_PRONTO]],Tabla7[[#All],[Obra]],Tabla7[[#All],[Gerente de obra]],"Sin Obra Asignada",0))</f>
        <v>ORTIZ JUAN MANUEL</v>
      </c>
      <c r="E149" s="31" t="str">
        <f>Loockup_ObrasGerencia[[#This Row],[OBRA_PRONTO]]&amp;Loockup_ObrasGerencia[[#This Row],[GERENCIA]]</f>
        <v>00000148ORTIZ JUAN MANUEL</v>
      </c>
      <c r="H149" t="s">
        <v>344</v>
      </c>
      <c r="I149" t="s">
        <v>345</v>
      </c>
      <c r="J149" t="s">
        <v>24</v>
      </c>
      <c r="K149" t="str">
        <f>Tabla7[[#This Row],[Obra]]&amp;Tabla7[[#This Row],[Gerente de obra]]</f>
        <v>00000150Trujillo</v>
      </c>
      <c r="L149">
        <f>MATCH(Tabla7[[#This Row],[AUX]],Loockup_ObrasGerencia[[#All],[aux]],0)</f>
        <v>151</v>
      </c>
      <c r="O149" t="str">
        <f>UPPER(GERENCIAS[[#This Row],[Gerente de obra]])</f>
        <v>FRANCISCO DI LISIO</v>
      </c>
      <c r="R149" t="s">
        <v>377</v>
      </c>
      <c r="S149" t="s">
        <v>378</v>
      </c>
      <c r="T149" t="s">
        <v>78</v>
      </c>
      <c r="W149" s="8" t="s">
        <v>341</v>
      </c>
      <c r="X149" s="8" t="s">
        <v>340</v>
      </c>
      <c r="Y149" s="8" t="s">
        <v>17</v>
      </c>
      <c r="Z149" t="str">
        <f t="shared" si="2"/>
        <v>00000148SI</v>
      </c>
      <c r="AA149" s="11" t="e">
        <f>MATCH(Tabla9[[#This Row],[AUX]],Loockup_ObrasGerencia[[#All],[aux]],0)</f>
        <v>#N/A</v>
      </c>
    </row>
    <row r="150" spans="1:27" x14ac:dyDescent="0.25">
      <c r="A150" s="30" t="s">
        <v>343</v>
      </c>
      <c r="B150" s="30" t="s">
        <v>342</v>
      </c>
      <c r="C150" s="30" t="s">
        <v>17</v>
      </c>
      <c r="D150" s="30" t="str" cm="1">
        <f t="array" ref="D150">UPPER(_xlfn.XLOOKUP(Loockup_ObrasGerencia[[#This Row],[OBRA_PRONTO]],Tabla7[[#All],[Obra]],Tabla7[[#All],[Gerente de obra]],"Sin Obra Asignada",0))</f>
        <v>ORTIZ JUAN MANUEL</v>
      </c>
      <c r="E150" s="31" t="str">
        <f>Loockup_ObrasGerencia[[#This Row],[OBRA_PRONTO]]&amp;Loockup_ObrasGerencia[[#This Row],[GERENCIA]]</f>
        <v>00000149ORTIZ JUAN MANUEL</v>
      </c>
      <c r="H150" t="s">
        <v>346</v>
      </c>
      <c r="I150" t="s">
        <v>347</v>
      </c>
      <c r="J150" t="s">
        <v>69</v>
      </c>
      <c r="K150" t="str">
        <f>Tabla7[[#This Row],[Obra]]&amp;Tabla7[[#This Row],[Gerente de obra]]</f>
        <v>00000151Metzler Javier</v>
      </c>
      <c r="L150">
        <f>MATCH(Tabla7[[#This Row],[AUX]],Loockup_ObrasGerencia[[#All],[aux]],0)</f>
        <v>152</v>
      </c>
      <c r="O150" t="str">
        <f>UPPER(GERENCIAS[[#This Row],[Gerente de obra]])</f>
        <v>CATRIEL GISELA</v>
      </c>
      <c r="R150" t="s">
        <v>379</v>
      </c>
      <c r="S150" t="s">
        <v>380</v>
      </c>
      <c r="T150" t="s">
        <v>243</v>
      </c>
      <c r="W150" s="8" t="s">
        <v>343</v>
      </c>
      <c r="X150" s="8" t="s">
        <v>342</v>
      </c>
      <c r="Y150" s="8" t="s">
        <v>17</v>
      </c>
      <c r="Z150" t="str">
        <f t="shared" si="2"/>
        <v>00000149SI</v>
      </c>
      <c r="AA150" s="11" t="e">
        <f>MATCH(Tabla9[[#This Row],[AUX]],Loockup_ObrasGerencia[[#All],[aux]],0)</f>
        <v>#N/A</v>
      </c>
    </row>
    <row r="151" spans="1:27" x14ac:dyDescent="0.25">
      <c r="A151" s="30" t="s">
        <v>345</v>
      </c>
      <c r="B151" s="30" t="s">
        <v>344</v>
      </c>
      <c r="C151" s="30" t="s">
        <v>17</v>
      </c>
      <c r="D151" s="30" t="str" cm="1">
        <f t="array" ref="D151">UPPER(_xlfn.XLOOKUP(Loockup_ObrasGerencia[[#This Row],[OBRA_PRONTO]],Tabla7[[#All],[Obra]],Tabla7[[#All],[Gerente de obra]],"Sin Obra Asignada",0))</f>
        <v>TRUJILLO</v>
      </c>
      <c r="E151" s="31" t="str">
        <f>Loockup_ObrasGerencia[[#This Row],[OBRA_PRONTO]]&amp;Loockup_ObrasGerencia[[#This Row],[GERENCIA]]</f>
        <v>00000150TRUJILLO</v>
      </c>
      <c r="H151" t="s">
        <v>348</v>
      </c>
      <c r="I151" t="s">
        <v>349</v>
      </c>
      <c r="J151" t="s">
        <v>18</v>
      </c>
      <c r="K151" t="str">
        <f>Tabla7[[#This Row],[Obra]]&amp;Tabla7[[#This Row],[Gerente de obra]]</f>
        <v>00000152Ortiz Juan Manuel</v>
      </c>
      <c r="L151">
        <f>MATCH(Tabla7[[#This Row],[AUX]],Loockup_ObrasGerencia[[#All],[aux]],0)</f>
        <v>153</v>
      </c>
      <c r="O151" t="str">
        <f>UPPER(GERENCIAS[[#This Row],[Gerente de obra]])</f>
        <v>ORTIZ JUAN MANUEL</v>
      </c>
      <c r="R151" t="s">
        <v>381</v>
      </c>
      <c r="S151" t="s">
        <v>382</v>
      </c>
      <c r="T151" t="s">
        <v>19</v>
      </c>
      <c r="W151" s="8" t="s">
        <v>345</v>
      </c>
      <c r="X151" s="8" t="s">
        <v>344</v>
      </c>
      <c r="Y151" s="8" t="s">
        <v>17</v>
      </c>
      <c r="Z151" t="str">
        <f t="shared" si="2"/>
        <v>00000150SI</v>
      </c>
      <c r="AA151" s="11" t="e">
        <f>MATCH(Tabla9[[#This Row],[AUX]],Loockup_ObrasGerencia[[#All],[aux]],0)</f>
        <v>#N/A</v>
      </c>
    </row>
    <row r="152" spans="1:27" x14ac:dyDescent="0.25">
      <c r="A152" s="30" t="s">
        <v>347</v>
      </c>
      <c r="B152" s="30" t="s">
        <v>346</v>
      </c>
      <c r="C152" s="30" t="s">
        <v>17</v>
      </c>
      <c r="D152" s="30" t="str" cm="1">
        <f t="array" ref="D152">UPPER(_xlfn.XLOOKUP(Loockup_ObrasGerencia[[#This Row],[OBRA_PRONTO]],Tabla7[[#All],[Obra]],Tabla7[[#All],[Gerente de obra]],"Sin Obra Asignada",0))</f>
        <v>METZLER JAVIER</v>
      </c>
      <c r="E152" s="31" t="str">
        <f>Loockup_ObrasGerencia[[#This Row],[OBRA_PRONTO]]&amp;Loockup_ObrasGerencia[[#This Row],[GERENCIA]]</f>
        <v>00000151METZLER JAVIER</v>
      </c>
      <c r="H152" t="s">
        <v>350</v>
      </c>
      <c r="I152" t="s">
        <v>351</v>
      </c>
      <c r="J152" t="s">
        <v>18</v>
      </c>
      <c r="K152" t="str">
        <f>Tabla7[[#This Row],[Obra]]&amp;Tabla7[[#This Row],[Gerente de obra]]</f>
        <v>00000153Ortiz Juan Manuel</v>
      </c>
      <c r="L152">
        <f>MATCH(Tabla7[[#This Row],[AUX]],Loockup_ObrasGerencia[[#All],[aux]],0)</f>
        <v>154</v>
      </c>
      <c r="O152" t="str">
        <f>UPPER(GERENCIAS[[#This Row],[Gerente de obra]])</f>
        <v>METZLER JAVIER</v>
      </c>
      <c r="R152" t="s">
        <v>383</v>
      </c>
      <c r="S152" t="s">
        <v>384</v>
      </c>
      <c r="T152" t="s">
        <v>68</v>
      </c>
      <c r="W152" s="8" t="s">
        <v>347</v>
      </c>
      <c r="X152" s="8" t="s">
        <v>346</v>
      </c>
      <c r="Y152" s="8" t="s">
        <v>17</v>
      </c>
      <c r="Z152" t="str">
        <f t="shared" si="2"/>
        <v>00000151SI</v>
      </c>
      <c r="AA152" s="11" t="e">
        <f>MATCH(Tabla9[[#This Row],[AUX]],Loockup_ObrasGerencia[[#All],[aux]],0)</f>
        <v>#N/A</v>
      </c>
    </row>
    <row r="153" spans="1:27" x14ac:dyDescent="0.25">
      <c r="A153" s="30" t="s">
        <v>349</v>
      </c>
      <c r="B153" s="30" t="s">
        <v>348</v>
      </c>
      <c r="C153" s="30" t="s">
        <v>17</v>
      </c>
      <c r="D153" s="30" t="str" cm="1">
        <f t="array" ref="D153">UPPER(_xlfn.XLOOKUP(Loockup_ObrasGerencia[[#This Row],[OBRA_PRONTO]],Tabla7[[#All],[Obra]],Tabla7[[#All],[Gerente de obra]],"Sin Obra Asignada",0))</f>
        <v>ORTIZ JUAN MANUEL</v>
      </c>
      <c r="E153" s="31" t="str">
        <f>Loockup_ObrasGerencia[[#This Row],[OBRA_PRONTO]]&amp;Loockup_ObrasGerencia[[#This Row],[GERENCIA]]</f>
        <v>00000152ORTIZ JUAN MANUEL</v>
      </c>
      <c r="H153" t="s">
        <v>352</v>
      </c>
      <c r="I153" t="s">
        <v>353</v>
      </c>
      <c r="J153" t="s">
        <v>271</v>
      </c>
      <c r="K153" t="str">
        <f>Tabla7[[#This Row],[Obra]]&amp;Tabla7[[#This Row],[Gerente de obra]]</f>
        <v>00000154Catriel Gisela</v>
      </c>
      <c r="L153">
        <f>MATCH(Tabla7[[#This Row],[AUX]],Loockup_ObrasGerencia[[#All],[aux]],0)</f>
        <v>155</v>
      </c>
      <c r="O153" t="str">
        <f>UPPER(GERENCIAS[[#This Row],[Gerente de obra]])</f>
        <v>ORTIZ JUAN MANUEL</v>
      </c>
      <c r="R153" t="s">
        <v>385</v>
      </c>
      <c r="S153" t="s">
        <v>386</v>
      </c>
      <c r="T153" t="s">
        <v>19</v>
      </c>
      <c r="W153" s="8" t="s">
        <v>349</v>
      </c>
      <c r="X153" s="8" t="s">
        <v>348</v>
      </c>
      <c r="Y153" s="8" t="s">
        <v>17</v>
      </c>
      <c r="Z153" t="str">
        <f t="shared" si="2"/>
        <v>00000152SI</v>
      </c>
      <c r="AA153" s="11" t="e">
        <f>MATCH(Tabla9[[#This Row],[AUX]],Loockup_ObrasGerencia[[#All],[aux]],0)</f>
        <v>#N/A</v>
      </c>
    </row>
    <row r="154" spans="1:27" x14ac:dyDescent="0.25">
      <c r="A154" s="30" t="s">
        <v>351</v>
      </c>
      <c r="B154" s="30" t="s">
        <v>350</v>
      </c>
      <c r="C154" s="30" t="s">
        <v>17</v>
      </c>
      <c r="D154" s="30" t="str" cm="1">
        <f t="array" ref="D154">UPPER(_xlfn.XLOOKUP(Loockup_ObrasGerencia[[#This Row],[OBRA_PRONTO]],Tabla7[[#All],[Obra]],Tabla7[[#All],[Gerente de obra]],"Sin Obra Asignada",0))</f>
        <v>ORTIZ JUAN MANUEL</v>
      </c>
      <c r="E154" s="31" t="str">
        <f>Loockup_ObrasGerencia[[#This Row],[OBRA_PRONTO]]&amp;Loockup_ObrasGerencia[[#This Row],[GERENCIA]]</f>
        <v>00000153ORTIZ JUAN MANUEL</v>
      </c>
      <c r="H154" t="s">
        <v>356</v>
      </c>
      <c r="I154" t="s">
        <v>357</v>
      </c>
      <c r="J154" t="s">
        <v>271</v>
      </c>
      <c r="K154" t="str">
        <f>Tabla7[[#This Row],[Obra]]&amp;Tabla7[[#This Row],[Gerente de obra]]</f>
        <v>00000155Catriel Gisela</v>
      </c>
      <c r="L154">
        <f>MATCH(Tabla7[[#This Row],[AUX]],Loockup_ObrasGerencia[[#All],[aux]],0)</f>
        <v>156</v>
      </c>
      <c r="O154" t="str">
        <f>UPPER(GERENCIAS[[#This Row],[Gerente de obra]])</f>
        <v>BARONE ALBERTO</v>
      </c>
      <c r="R154" t="s">
        <v>387</v>
      </c>
      <c r="S154" t="s">
        <v>388</v>
      </c>
      <c r="T154" t="s">
        <v>132</v>
      </c>
      <c r="W154" s="8" t="s">
        <v>351</v>
      </c>
      <c r="X154" s="8" t="s">
        <v>350</v>
      </c>
      <c r="Y154" s="8" t="s">
        <v>17</v>
      </c>
      <c r="Z154" t="str">
        <f t="shared" si="2"/>
        <v>00000153SI</v>
      </c>
      <c r="AA154" s="11" t="e">
        <f>MATCH(Tabla9[[#This Row],[AUX]],Loockup_ObrasGerencia[[#All],[aux]],0)</f>
        <v>#N/A</v>
      </c>
    </row>
    <row r="155" spans="1:27" x14ac:dyDescent="0.25">
      <c r="A155" s="30" t="s">
        <v>353</v>
      </c>
      <c r="B155" s="30" t="s">
        <v>352</v>
      </c>
      <c r="C155" s="30" t="s">
        <v>17</v>
      </c>
      <c r="D155" s="30" t="str" cm="1">
        <f t="array" ref="D155">UPPER(_xlfn.XLOOKUP(Loockup_ObrasGerencia[[#This Row],[OBRA_PRONTO]],Tabla7[[#All],[Obra]],Tabla7[[#All],[Gerente de obra]],"Sin Obra Asignada",0))</f>
        <v>CATRIEL GISELA</v>
      </c>
      <c r="E155" s="31" t="str">
        <f>Loockup_ObrasGerencia[[#This Row],[OBRA_PRONTO]]&amp;Loockup_ObrasGerencia[[#This Row],[GERENCIA]]</f>
        <v>00000154CATRIEL GISELA</v>
      </c>
      <c r="H155" t="s">
        <v>358</v>
      </c>
      <c r="I155" t="s">
        <v>359</v>
      </c>
      <c r="J155" t="s">
        <v>271</v>
      </c>
      <c r="K155" t="str">
        <f>Tabla7[[#This Row],[Obra]]&amp;Tabla7[[#This Row],[Gerente de obra]]</f>
        <v>00000156Catriel Gisela</v>
      </c>
      <c r="L155">
        <f>MATCH(Tabla7[[#This Row],[AUX]],Loockup_ObrasGerencia[[#All],[aux]],0)</f>
        <v>157</v>
      </c>
      <c r="O155" t="str">
        <f>UPPER(GERENCIAS[[#This Row],[Gerente de obra]])</f>
        <v>TRUJILLO</v>
      </c>
      <c r="R155" t="s">
        <v>389</v>
      </c>
      <c r="S155" t="s">
        <v>390</v>
      </c>
      <c r="T155" t="s">
        <v>25</v>
      </c>
      <c r="W155" s="8" t="s">
        <v>353</v>
      </c>
      <c r="X155" s="8" t="s">
        <v>352</v>
      </c>
      <c r="Y155" s="8" t="s">
        <v>17</v>
      </c>
      <c r="Z155" t="str">
        <f t="shared" si="2"/>
        <v>00000154SI</v>
      </c>
      <c r="AA155" s="11" t="e">
        <f>MATCH(Tabla9[[#This Row],[AUX]],Loockup_ObrasGerencia[[#All],[aux]],0)</f>
        <v>#N/A</v>
      </c>
    </row>
    <row r="156" spans="1:27" x14ac:dyDescent="0.25">
      <c r="A156" s="30" t="s">
        <v>357</v>
      </c>
      <c r="B156" s="30" t="s">
        <v>356</v>
      </c>
      <c r="C156" s="30" t="s">
        <v>17</v>
      </c>
      <c r="D156" s="30" t="str" cm="1">
        <f t="array" ref="D156">UPPER(_xlfn.XLOOKUP(Loockup_ObrasGerencia[[#This Row],[OBRA_PRONTO]],Tabla7[[#All],[Obra]],Tabla7[[#All],[Gerente de obra]],"Sin Obra Asignada",0))</f>
        <v>CATRIEL GISELA</v>
      </c>
      <c r="E156" s="31" t="str">
        <f>Loockup_ObrasGerencia[[#This Row],[OBRA_PRONTO]]&amp;Loockup_ObrasGerencia[[#This Row],[GERENCIA]]</f>
        <v>00000155CATRIEL GISELA</v>
      </c>
      <c r="H156" t="s">
        <v>360</v>
      </c>
      <c r="I156" t="s">
        <v>361</v>
      </c>
      <c r="J156" t="s">
        <v>271</v>
      </c>
      <c r="K156" t="str">
        <f>Tabla7[[#This Row],[Obra]]&amp;Tabla7[[#This Row],[Gerente de obra]]</f>
        <v>00000157Catriel Gisela</v>
      </c>
      <c r="L156">
        <f>MATCH(Tabla7[[#This Row],[AUX]],Loockup_ObrasGerencia[[#All],[aux]],0)</f>
        <v>158</v>
      </c>
      <c r="O156" t="str">
        <f>UPPER(GERENCIAS[[#This Row],[Gerente de obra]])</f>
        <v>ORTIZ JUAN MANUEL</v>
      </c>
      <c r="R156" t="s">
        <v>391</v>
      </c>
      <c r="S156" t="s">
        <v>392</v>
      </c>
      <c r="T156" t="s">
        <v>19</v>
      </c>
      <c r="W156" s="8" t="s">
        <v>357</v>
      </c>
      <c r="X156" s="8" t="s">
        <v>356</v>
      </c>
      <c r="Y156" s="8" t="s">
        <v>17</v>
      </c>
      <c r="Z156" t="str">
        <f t="shared" si="2"/>
        <v>00000155SI</v>
      </c>
      <c r="AA156" s="11" t="e">
        <f>MATCH(Tabla9[[#This Row],[AUX]],Loockup_ObrasGerencia[[#All],[aux]],0)</f>
        <v>#N/A</v>
      </c>
    </row>
    <row r="157" spans="1:27" x14ac:dyDescent="0.25">
      <c r="A157" s="30" t="s">
        <v>359</v>
      </c>
      <c r="B157" s="30" t="s">
        <v>358</v>
      </c>
      <c r="C157" s="30" t="s">
        <v>17</v>
      </c>
      <c r="D157" s="30" t="str" cm="1">
        <f t="array" ref="D157">UPPER(_xlfn.XLOOKUP(Loockup_ObrasGerencia[[#This Row],[OBRA_PRONTO]],Tabla7[[#All],[Obra]],Tabla7[[#All],[Gerente de obra]],"Sin Obra Asignada",0))</f>
        <v>CATRIEL GISELA</v>
      </c>
      <c r="E157" s="31" t="str">
        <f>Loockup_ObrasGerencia[[#This Row],[OBRA_PRONTO]]&amp;Loockup_ObrasGerencia[[#This Row],[GERENCIA]]</f>
        <v>00000156CATRIEL GISELA</v>
      </c>
      <c r="H157" t="s">
        <v>362</v>
      </c>
      <c r="I157" t="s">
        <v>363</v>
      </c>
      <c r="J157" t="s">
        <v>79</v>
      </c>
      <c r="K157" t="str">
        <f>Tabla7[[#This Row],[Obra]]&amp;Tabla7[[#This Row],[Gerente de obra]]</f>
        <v>00000158Francisco Di Lisio</v>
      </c>
      <c r="L157">
        <f>MATCH(Tabla7[[#This Row],[AUX]],Loockup_ObrasGerencia[[#All],[aux]],0)</f>
        <v>159</v>
      </c>
      <c r="O157" t="str">
        <f>UPPER(GERENCIAS[[#This Row],[Gerente de obra]])</f>
        <v>TRUJILLO</v>
      </c>
      <c r="R157" t="s">
        <v>393</v>
      </c>
      <c r="S157" t="s">
        <v>394</v>
      </c>
      <c r="T157" t="s">
        <v>25</v>
      </c>
      <c r="W157" s="8" t="s">
        <v>359</v>
      </c>
      <c r="X157" s="8" t="s">
        <v>358</v>
      </c>
      <c r="Y157" s="8" t="s">
        <v>17</v>
      </c>
      <c r="Z157" t="str">
        <f t="shared" si="2"/>
        <v>00000156SI</v>
      </c>
      <c r="AA157" s="11" t="e">
        <f>MATCH(Tabla9[[#This Row],[AUX]],Loockup_ObrasGerencia[[#All],[aux]],0)</f>
        <v>#N/A</v>
      </c>
    </row>
    <row r="158" spans="1:27" x14ac:dyDescent="0.25">
      <c r="A158" s="30" t="s">
        <v>361</v>
      </c>
      <c r="B158" s="30" t="s">
        <v>360</v>
      </c>
      <c r="C158" s="30" t="s">
        <v>17</v>
      </c>
      <c r="D158" s="30" t="str" cm="1">
        <f t="array" ref="D158">UPPER(_xlfn.XLOOKUP(Loockup_ObrasGerencia[[#This Row],[OBRA_PRONTO]],Tabla7[[#All],[Obra]],Tabla7[[#All],[Gerente de obra]],"Sin Obra Asignada",0))</f>
        <v>CATRIEL GISELA</v>
      </c>
      <c r="E158" s="31" t="str">
        <f>Loockup_ObrasGerencia[[#This Row],[OBRA_PRONTO]]&amp;Loockup_ObrasGerencia[[#This Row],[GERENCIA]]</f>
        <v>00000157CATRIEL GISELA</v>
      </c>
      <c r="H158" t="s">
        <v>364</v>
      </c>
      <c r="I158" t="s">
        <v>365</v>
      </c>
      <c r="J158" t="s">
        <v>79</v>
      </c>
      <c r="K158" t="str">
        <f>Tabla7[[#This Row],[Obra]]&amp;Tabla7[[#This Row],[Gerente de obra]]</f>
        <v>00000159Francisco Di Lisio</v>
      </c>
      <c r="L158">
        <f>MATCH(Tabla7[[#This Row],[AUX]],Loockup_ObrasGerencia[[#All],[aux]],0)</f>
        <v>160</v>
      </c>
      <c r="O158" t="str">
        <f>UPPER(GERENCIAS[[#This Row],[Gerente de obra]])</f>
        <v>CATRIEL GISELA</v>
      </c>
      <c r="R158" t="s">
        <v>395</v>
      </c>
      <c r="S158" t="s">
        <v>396</v>
      </c>
      <c r="T158" t="s">
        <v>243</v>
      </c>
      <c r="W158" s="8" t="s">
        <v>361</v>
      </c>
      <c r="X158" s="8" t="s">
        <v>360</v>
      </c>
      <c r="Y158" s="8" t="s">
        <v>17</v>
      </c>
      <c r="Z158" t="str">
        <f t="shared" si="2"/>
        <v>00000157SI</v>
      </c>
      <c r="AA158" s="11" t="e">
        <f>MATCH(Tabla9[[#This Row],[AUX]],Loockup_ObrasGerencia[[#All],[aux]],0)</f>
        <v>#N/A</v>
      </c>
    </row>
    <row r="159" spans="1:27" x14ac:dyDescent="0.25">
      <c r="A159" s="30" t="s">
        <v>363</v>
      </c>
      <c r="B159" s="30" t="s">
        <v>362</v>
      </c>
      <c r="C159" s="30" t="s">
        <v>17</v>
      </c>
      <c r="D159" s="30" t="str" cm="1">
        <f t="array" ref="D159">UPPER(_xlfn.XLOOKUP(Loockup_ObrasGerencia[[#This Row],[OBRA_PRONTO]],Tabla7[[#All],[Obra]],Tabla7[[#All],[Gerente de obra]],"Sin Obra Asignada",0))</f>
        <v>FRANCISCO DI LISIO</v>
      </c>
      <c r="E159" s="31" t="str">
        <f>Loockup_ObrasGerencia[[#This Row],[OBRA_PRONTO]]&amp;Loockup_ObrasGerencia[[#This Row],[GERENCIA]]</f>
        <v>00000158FRANCISCO DI LISIO</v>
      </c>
      <c r="H159" t="s">
        <v>366</v>
      </c>
      <c r="I159" t="s">
        <v>367</v>
      </c>
      <c r="J159" t="s">
        <v>397</v>
      </c>
      <c r="K159" t="str">
        <f>Tabla7[[#This Row],[Obra]]&amp;Tabla7[[#This Row],[Gerente de obra]]</f>
        <v>00000160Gonzalo Silva</v>
      </c>
      <c r="L159">
        <f>MATCH(Tabla7[[#This Row],[AUX]],Loockup_ObrasGerencia[[#All],[aux]],0)</f>
        <v>161</v>
      </c>
      <c r="O159" t="str">
        <f>UPPER(GERENCIAS[[#This Row],[Gerente de obra]])</f>
        <v>FRANCISCO DI LISIO</v>
      </c>
      <c r="R159" t="s">
        <v>398</v>
      </c>
      <c r="S159" t="s">
        <v>399</v>
      </c>
      <c r="T159" t="s">
        <v>78</v>
      </c>
      <c r="W159" s="8" t="s">
        <v>363</v>
      </c>
      <c r="X159" s="8" t="s">
        <v>362</v>
      </c>
      <c r="Y159" s="8" t="s">
        <v>17</v>
      </c>
      <c r="Z159" t="str">
        <f t="shared" si="2"/>
        <v>00000158SI</v>
      </c>
      <c r="AA159" s="11" t="e">
        <f>MATCH(Tabla9[[#This Row],[AUX]],Loockup_ObrasGerencia[[#All],[aux]],0)</f>
        <v>#N/A</v>
      </c>
    </row>
    <row r="160" spans="1:27" x14ac:dyDescent="0.25">
      <c r="A160" s="30" t="s">
        <v>365</v>
      </c>
      <c r="B160" s="30" t="s">
        <v>364</v>
      </c>
      <c r="C160" s="30" t="s">
        <v>17</v>
      </c>
      <c r="D160" s="30" t="str" cm="1">
        <f t="array" ref="D160">UPPER(_xlfn.XLOOKUP(Loockup_ObrasGerencia[[#This Row],[OBRA_PRONTO]],Tabla7[[#All],[Obra]],Tabla7[[#All],[Gerente de obra]],"Sin Obra Asignada",0))</f>
        <v>FRANCISCO DI LISIO</v>
      </c>
      <c r="E160" s="31" t="str">
        <f>Loockup_ObrasGerencia[[#This Row],[OBRA_PRONTO]]&amp;Loockup_ObrasGerencia[[#This Row],[GERENCIA]]</f>
        <v>00000159FRANCISCO DI LISIO</v>
      </c>
      <c r="H160" t="s">
        <v>369</v>
      </c>
      <c r="I160" t="s">
        <v>370</v>
      </c>
      <c r="J160" t="s">
        <v>397</v>
      </c>
      <c r="K160" t="str">
        <f>Tabla7[[#This Row],[Obra]]&amp;Tabla7[[#This Row],[Gerente de obra]]</f>
        <v>00000161Gonzalo Silva</v>
      </c>
      <c r="L160">
        <f>MATCH(Tabla7[[#This Row],[AUX]],Loockup_ObrasGerencia[[#All],[aux]],0)</f>
        <v>162</v>
      </c>
      <c r="O160" t="str">
        <f>UPPER(GERENCIAS[[#This Row],[Gerente de obra]])</f>
        <v>FRANCISCO DI LISIO</v>
      </c>
      <c r="R160" t="s">
        <v>400</v>
      </c>
      <c r="S160" t="s">
        <v>401</v>
      </c>
      <c r="T160" t="s">
        <v>78</v>
      </c>
      <c r="W160" s="8" t="s">
        <v>365</v>
      </c>
      <c r="X160" s="8" t="s">
        <v>364</v>
      </c>
      <c r="Y160" s="8" t="s">
        <v>17</v>
      </c>
      <c r="Z160" t="str">
        <f t="shared" si="2"/>
        <v>00000159SI</v>
      </c>
      <c r="AA160" s="11" t="e">
        <f>MATCH(Tabla9[[#This Row],[AUX]],Loockup_ObrasGerencia[[#All],[aux]],0)</f>
        <v>#N/A</v>
      </c>
    </row>
    <row r="161" spans="1:27" x14ac:dyDescent="0.25">
      <c r="A161" s="30" t="s">
        <v>367</v>
      </c>
      <c r="B161" s="30" t="s">
        <v>366</v>
      </c>
      <c r="C161" s="30" t="s">
        <v>17</v>
      </c>
      <c r="D161" s="30" t="str" cm="1">
        <f t="array" ref="D161">UPPER(_xlfn.XLOOKUP(Loockup_ObrasGerencia[[#This Row],[OBRA_PRONTO]],Tabla7[[#All],[Obra]],Tabla7[[#All],[Gerente de obra]],"Sin Obra Asignada",0))</f>
        <v>GONZALO SILVA</v>
      </c>
      <c r="E161" s="31" t="str">
        <f>Loockup_ObrasGerencia[[#This Row],[OBRA_PRONTO]]&amp;Loockup_ObrasGerencia[[#This Row],[GERENCIA]]</f>
        <v>00000160GONZALO SILVA</v>
      </c>
      <c r="H161" t="s">
        <v>371</v>
      </c>
      <c r="I161" t="s">
        <v>372</v>
      </c>
      <c r="J161" t="s">
        <v>271</v>
      </c>
      <c r="K161" t="str">
        <f>Tabla7[[#This Row],[Obra]]&amp;Tabla7[[#This Row],[Gerente de obra]]</f>
        <v>00000162Catriel Gisela</v>
      </c>
      <c r="L161">
        <f>MATCH(Tabla7[[#This Row],[AUX]],Loockup_ObrasGerencia[[#All],[aux]],0)</f>
        <v>163</v>
      </c>
      <c r="O161" t="str">
        <f>UPPER(GERENCIAS[[#This Row],[Gerente de obra]])</f>
        <v>BARONE ALBERTO</v>
      </c>
      <c r="R161" t="s">
        <v>402</v>
      </c>
      <c r="S161" t="s">
        <v>403</v>
      </c>
      <c r="T161" t="s">
        <v>132</v>
      </c>
      <c r="W161" s="8" t="s">
        <v>367</v>
      </c>
      <c r="X161" s="8" t="s">
        <v>366</v>
      </c>
      <c r="Y161" s="8" t="s">
        <v>17</v>
      </c>
      <c r="Z161" t="str">
        <f t="shared" si="2"/>
        <v>00000160SI</v>
      </c>
      <c r="AA161" s="11" t="e">
        <f>MATCH(Tabla9[[#This Row],[AUX]],Loockup_ObrasGerencia[[#All],[aux]],0)</f>
        <v>#N/A</v>
      </c>
    </row>
    <row r="162" spans="1:27" x14ac:dyDescent="0.25">
      <c r="A162" s="30" t="s">
        <v>370</v>
      </c>
      <c r="B162" s="30" t="s">
        <v>369</v>
      </c>
      <c r="C162" s="30" t="s">
        <v>17</v>
      </c>
      <c r="D162" s="30" t="str" cm="1">
        <f t="array" ref="D162">UPPER(_xlfn.XLOOKUP(Loockup_ObrasGerencia[[#This Row],[OBRA_PRONTO]],Tabla7[[#All],[Obra]],Tabla7[[#All],[Gerente de obra]],"Sin Obra Asignada",0))</f>
        <v>GONZALO SILVA</v>
      </c>
      <c r="E162" s="31" t="str">
        <f>Loockup_ObrasGerencia[[#This Row],[OBRA_PRONTO]]&amp;Loockup_ObrasGerencia[[#This Row],[GERENCIA]]</f>
        <v>00000161GONZALO SILVA</v>
      </c>
      <c r="H162" t="s">
        <v>373</v>
      </c>
      <c r="I162" t="s">
        <v>374</v>
      </c>
      <c r="J162" t="s">
        <v>271</v>
      </c>
      <c r="K162" t="str">
        <f>Tabla7[[#This Row],[Obra]]&amp;Tabla7[[#This Row],[Gerente de obra]]</f>
        <v>00000163Catriel Gisela</v>
      </c>
      <c r="L162">
        <f>MATCH(Tabla7[[#This Row],[AUX]],Loockup_ObrasGerencia[[#All],[aux]],0)</f>
        <v>164</v>
      </c>
      <c r="O162" t="str">
        <f>UPPER(GERENCIAS[[#This Row],[Gerente de obra]])</f>
        <v>ORTIZ JUAN MANUEL</v>
      </c>
      <c r="R162" t="s">
        <v>404</v>
      </c>
      <c r="S162" t="s">
        <v>405</v>
      </c>
      <c r="T162" t="s">
        <v>19</v>
      </c>
      <c r="W162" s="8" t="s">
        <v>370</v>
      </c>
      <c r="X162" s="8" t="s">
        <v>369</v>
      </c>
      <c r="Y162" s="8" t="s">
        <v>17</v>
      </c>
      <c r="Z162" t="str">
        <f t="shared" si="2"/>
        <v>00000161SI</v>
      </c>
      <c r="AA162" s="11" t="e">
        <f>MATCH(Tabla9[[#This Row],[AUX]],Loockup_ObrasGerencia[[#All],[aux]],0)</f>
        <v>#N/A</v>
      </c>
    </row>
    <row r="163" spans="1:27" x14ac:dyDescent="0.25">
      <c r="A163" s="30" t="s">
        <v>372</v>
      </c>
      <c r="B163" s="30" t="s">
        <v>371</v>
      </c>
      <c r="C163" s="30" t="s">
        <v>17</v>
      </c>
      <c r="D163" s="30" t="str" cm="1">
        <f t="array" ref="D163">UPPER(_xlfn.XLOOKUP(Loockup_ObrasGerencia[[#This Row],[OBRA_PRONTO]],Tabla7[[#All],[Obra]],Tabla7[[#All],[Gerente de obra]],"Sin Obra Asignada",0))</f>
        <v>CATRIEL GISELA</v>
      </c>
      <c r="E163" s="31" t="str">
        <f>Loockup_ObrasGerencia[[#This Row],[OBRA_PRONTO]]&amp;Loockup_ObrasGerencia[[#This Row],[GERENCIA]]</f>
        <v>00000162CATRIEL GISELA</v>
      </c>
      <c r="H163" t="s">
        <v>375</v>
      </c>
      <c r="I163" t="s">
        <v>376</v>
      </c>
      <c r="J163" t="s">
        <v>141</v>
      </c>
      <c r="K163" t="str">
        <f>Tabla7[[#This Row],[Obra]]&amp;Tabla7[[#This Row],[Gerente de obra]]</f>
        <v>00000164Barone Alberto</v>
      </c>
      <c r="L163">
        <f>MATCH(Tabla7[[#This Row],[AUX]],Loockup_ObrasGerencia[[#All],[aux]],0)</f>
        <v>165</v>
      </c>
      <c r="O163" t="str">
        <f>UPPER(GERENCIAS[[#This Row],[Gerente de obra]])</f>
        <v>FRANCISCO DI LISIO</v>
      </c>
      <c r="R163" t="s">
        <v>406</v>
      </c>
      <c r="S163" t="s">
        <v>407</v>
      </c>
      <c r="T163" t="s">
        <v>78</v>
      </c>
      <c r="W163" s="8" t="s">
        <v>372</v>
      </c>
      <c r="X163" s="8" t="s">
        <v>371</v>
      </c>
      <c r="Y163" s="8" t="s">
        <v>17</v>
      </c>
      <c r="Z163" t="str">
        <f t="shared" si="2"/>
        <v>00000162SI</v>
      </c>
      <c r="AA163" s="11" t="e">
        <f>MATCH(Tabla9[[#This Row],[AUX]],Loockup_ObrasGerencia[[#All],[aux]],0)</f>
        <v>#N/A</v>
      </c>
    </row>
    <row r="164" spans="1:27" x14ac:dyDescent="0.25">
      <c r="A164" s="30" t="s">
        <v>374</v>
      </c>
      <c r="B164" s="30" t="s">
        <v>373</v>
      </c>
      <c r="C164" s="30" t="s">
        <v>17</v>
      </c>
      <c r="D164" s="30" t="str" cm="1">
        <f t="array" ref="D164">UPPER(_xlfn.XLOOKUP(Loockup_ObrasGerencia[[#This Row],[OBRA_PRONTO]],Tabla7[[#All],[Obra]],Tabla7[[#All],[Gerente de obra]],"Sin Obra Asignada",0))</f>
        <v>CATRIEL GISELA</v>
      </c>
      <c r="E164" s="31" t="str">
        <f>Loockup_ObrasGerencia[[#This Row],[OBRA_PRONTO]]&amp;Loockup_ObrasGerencia[[#This Row],[GERENCIA]]</f>
        <v>00000163CATRIEL GISELA</v>
      </c>
      <c r="H164" t="s">
        <v>377</v>
      </c>
      <c r="I164" t="s">
        <v>378</v>
      </c>
      <c r="J164" t="s">
        <v>79</v>
      </c>
      <c r="K164" t="str">
        <f>Tabla7[[#This Row],[Obra]]&amp;Tabla7[[#This Row],[Gerente de obra]]</f>
        <v>00000165Francisco Di Lisio</v>
      </c>
      <c r="L164">
        <f>MATCH(Tabla7[[#This Row],[AUX]],Loockup_ObrasGerencia[[#All],[aux]],0)</f>
        <v>166</v>
      </c>
      <c r="O164" t="str">
        <f>UPPER(GERENCIAS[[#This Row],[Gerente de obra]])</f>
        <v>BARONE ALBERTO</v>
      </c>
      <c r="R164" t="s">
        <v>408</v>
      </c>
      <c r="S164" t="s">
        <v>409</v>
      </c>
      <c r="T164" t="s">
        <v>132</v>
      </c>
      <c r="W164" s="8" t="s">
        <v>374</v>
      </c>
      <c r="X164" s="8" t="s">
        <v>373</v>
      </c>
      <c r="Y164" s="8" t="s">
        <v>17</v>
      </c>
      <c r="Z164" t="str">
        <f t="shared" si="2"/>
        <v>00000163SI</v>
      </c>
      <c r="AA164" s="11" t="e">
        <f>MATCH(Tabla9[[#This Row],[AUX]],Loockup_ObrasGerencia[[#All],[aux]],0)</f>
        <v>#N/A</v>
      </c>
    </row>
    <row r="165" spans="1:27" x14ac:dyDescent="0.25">
      <c r="A165" s="30" t="s">
        <v>376</v>
      </c>
      <c r="B165" s="30" t="s">
        <v>375</v>
      </c>
      <c r="C165" s="30" t="s">
        <v>17</v>
      </c>
      <c r="D165" s="30" t="str" cm="1">
        <f t="array" ref="D165">UPPER(_xlfn.XLOOKUP(Loockup_ObrasGerencia[[#This Row],[OBRA_PRONTO]],Tabla7[[#All],[Obra]],Tabla7[[#All],[Gerente de obra]],"Sin Obra Asignada",0))</f>
        <v>BARONE ALBERTO</v>
      </c>
      <c r="E165" s="31" t="str">
        <f>Loockup_ObrasGerencia[[#This Row],[OBRA_PRONTO]]&amp;Loockup_ObrasGerencia[[#This Row],[GERENCIA]]</f>
        <v>00000164BARONE ALBERTO</v>
      </c>
      <c r="H165" t="s">
        <v>379</v>
      </c>
      <c r="I165" t="s">
        <v>380</v>
      </c>
      <c r="J165" t="s">
        <v>271</v>
      </c>
      <c r="K165" t="str">
        <f>Tabla7[[#This Row],[Obra]]&amp;Tabla7[[#This Row],[Gerente de obra]]</f>
        <v>00000166Catriel Gisela</v>
      </c>
      <c r="L165">
        <f>MATCH(Tabla7[[#This Row],[AUX]],Loockup_ObrasGerencia[[#All],[aux]],0)</f>
        <v>167</v>
      </c>
      <c r="O165" t="str">
        <f>UPPER(GERENCIAS[[#This Row],[Gerente de obra]])</f>
        <v>METZLER JAVIER</v>
      </c>
      <c r="R165" t="s">
        <v>410</v>
      </c>
      <c r="S165" t="s">
        <v>411</v>
      </c>
      <c r="T165" t="s">
        <v>68</v>
      </c>
      <c r="W165" s="8" t="s">
        <v>376</v>
      </c>
      <c r="X165" s="8" t="s">
        <v>375</v>
      </c>
      <c r="Y165" s="8" t="s">
        <v>17</v>
      </c>
      <c r="Z165" t="str">
        <f t="shared" si="2"/>
        <v>00000164SI</v>
      </c>
      <c r="AA165" s="11" t="e">
        <f>MATCH(Tabla9[[#This Row],[AUX]],Loockup_ObrasGerencia[[#All],[aux]],0)</f>
        <v>#N/A</v>
      </c>
    </row>
    <row r="166" spans="1:27" x14ac:dyDescent="0.25">
      <c r="A166" s="30" t="s">
        <v>378</v>
      </c>
      <c r="B166" s="30" t="s">
        <v>377</v>
      </c>
      <c r="C166" s="30" t="s">
        <v>270</v>
      </c>
      <c r="D166" s="30" t="str" cm="1">
        <f t="array" ref="D166">UPPER(_xlfn.XLOOKUP(Loockup_ObrasGerencia[[#This Row],[OBRA_PRONTO]],Tabla7[[#All],[Obra]],Tabla7[[#All],[Gerente de obra]],"Sin Obra Asignada",0))</f>
        <v>FRANCISCO DI LISIO</v>
      </c>
      <c r="E166" s="31" t="str">
        <f>Loockup_ObrasGerencia[[#This Row],[OBRA_PRONTO]]&amp;Loockup_ObrasGerencia[[#This Row],[GERENCIA]]</f>
        <v>00000165FRANCISCO DI LISIO</v>
      </c>
      <c r="H166" t="s">
        <v>381</v>
      </c>
      <c r="I166" t="s">
        <v>382</v>
      </c>
      <c r="J166" t="s">
        <v>18</v>
      </c>
      <c r="K166" t="str">
        <f>Tabla7[[#This Row],[Obra]]&amp;Tabla7[[#This Row],[Gerente de obra]]</f>
        <v>00000167Ortiz Juan Manuel</v>
      </c>
      <c r="L166">
        <f>MATCH(Tabla7[[#This Row],[AUX]],Loockup_ObrasGerencia[[#All],[aux]],0)</f>
        <v>168</v>
      </c>
      <c r="O166" t="str">
        <f>UPPER(GERENCIAS[[#This Row],[Gerente de obra]])</f>
        <v>CATRIEL GISELA</v>
      </c>
      <c r="R166" t="s">
        <v>412</v>
      </c>
      <c r="S166" t="s">
        <v>413</v>
      </c>
      <c r="T166" t="s">
        <v>243</v>
      </c>
      <c r="W166" s="8" t="s">
        <v>378</v>
      </c>
      <c r="X166" s="8" t="s">
        <v>377</v>
      </c>
      <c r="Y166" s="8" t="s">
        <v>270</v>
      </c>
      <c r="Z166" t="str">
        <f t="shared" si="2"/>
        <v>00000165ACTIVOS</v>
      </c>
      <c r="AA166" s="11" t="e">
        <f>MATCH(Tabla9[[#This Row],[AUX]],Loockup_ObrasGerencia[[#All],[aux]],0)</f>
        <v>#N/A</v>
      </c>
    </row>
    <row r="167" spans="1:27" x14ac:dyDescent="0.25">
      <c r="A167" s="30" t="s">
        <v>380</v>
      </c>
      <c r="B167" s="30" t="s">
        <v>379</v>
      </c>
      <c r="C167" s="30" t="s">
        <v>17</v>
      </c>
      <c r="D167" s="30" t="str" cm="1">
        <f t="array" ref="D167">UPPER(_xlfn.XLOOKUP(Loockup_ObrasGerencia[[#This Row],[OBRA_PRONTO]],Tabla7[[#All],[Obra]],Tabla7[[#All],[Gerente de obra]],"Sin Obra Asignada",0))</f>
        <v>CATRIEL GISELA</v>
      </c>
      <c r="E167" s="31" t="str">
        <f>Loockup_ObrasGerencia[[#This Row],[OBRA_PRONTO]]&amp;Loockup_ObrasGerencia[[#This Row],[GERENCIA]]</f>
        <v>00000166CATRIEL GISELA</v>
      </c>
      <c r="H167" t="s">
        <v>383</v>
      </c>
      <c r="I167" t="s">
        <v>384</v>
      </c>
      <c r="J167" t="s">
        <v>69</v>
      </c>
      <c r="K167" t="str">
        <f>Tabla7[[#This Row],[Obra]]&amp;Tabla7[[#This Row],[Gerente de obra]]</f>
        <v>00000168Metzler Javier</v>
      </c>
      <c r="L167">
        <f>MATCH(Tabla7[[#This Row],[AUX]],Loockup_ObrasGerencia[[#All],[aux]],0)</f>
        <v>169</v>
      </c>
      <c r="O167" t="str">
        <f>UPPER(GERENCIAS[[#This Row],[Gerente de obra]])</f>
        <v>GONZALO SILVA</v>
      </c>
      <c r="R167" t="s">
        <v>414</v>
      </c>
      <c r="S167" t="s">
        <v>415</v>
      </c>
      <c r="T167" t="s">
        <v>368</v>
      </c>
      <c r="W167" s="8" t="s">
        <v>380</v>
      </c>
      <c r="X167" s="8" t="s">
        <v>379</v>
      </c>
      <c r="Y167" s="8" t="s">
        <v>17</v>
      </c>
      <c r="Z167" t="str">
        <f t="shared" si="2"/>
        <v>00000166SI</v>
      </c>
      <c r="AA167" s="11" t="e">
        <f>MATCH(Tabla9[[#This Row],[AUX]],Loockup_ObrasGerencia[[#All],[aux]],0)</f>
        <v>#N/A</v>
      </c>
    </row>
    <row r="168" spans="1:27" x14ac:dyDescent="0.25">
      <c r="A168" s="30" t="s">
        <v>382</v>
      </c>
      <c r="B168" s="30" t="s">
        <v>381</v>
      </c>
      <c r="C168" s="30" t="s">
        <v>17</v>
      </c>
      <c r="D168" s="30" t="str" cm="1">
        <f t="array" ref="D168">UPPER(_xlfn.XLOOKUP(Loockup_ObrasGerencia[[#This Row],[OBRA_PRONTO]],Tabla7[[#All],[Obra]],Tabla7[[#All],[Gerente de obra]],"Sin Obra Asignada",0))</f>
        <v>ORTIZ JUAN MANUEL</v>
      </c>
      <c r="E168" s="31" t="str">
        <f>Loockup_ObrasGerencia[[#This Row],[OBRA_PRONTO]]&amp;Loockup_ObrasGerencia[[#This Row],[GERENCIA]]</f>
        <v>00000167ORTIZ JUAN MANUEL</v>
      </c>
      <c r="H168" t="s">
        <v>385</v>
      </c>
      <c r="I168" t="s">
        <v>386</v>
      </c>
      <c r="J168" t="s">
        <v>18</v>
      </c>
      <c r="K168" t="str">
        <f>Tabla7[[#This Row],[Obra]]&amp;Tabla7[[#This Row],[Gerente de obra]]</f>
        <v>00000169Ortiz Juan Manuel</v>
      </c>
      <c r="L168">
        <f>MATCH(Tabla7[[#This Row],[AUX]],Loockup_ObrasGerencia[[#All],[aux]],0)</f>
        <v>170</v>
      </c>
      <c r="O168" t="str">
        <f>UPPER(GERENCIAS[[#This Row],[Gerente de obra]])</f>
        <v>FRANCISCO DI LISIO</v>
      </c>
      <c r="R168" t="s">
        <v>416</v>
      </c>
      <c r="S168" t="s">
        <v>417</v>
      </c>
      <c r="T168" t="s">
        <v>78</v>
      </c>
      <c r="W168" s="8" t="s">
        <v>382</v>
      </c>
      <c r="X168" s="8" t="s">
        <v>381</v>
      </c>
      <c r="Y168" s="8" t="s">
        <v>17</v>
      </c>
      <c r="Z168" t="str">
        <f t="shared" si="2"/>
        <v>00000167SI</v>
      </c>
      <c r="AA168" s="11" t="e">
        <f>MATCH(Tabla9[[#This Row],[AUX]],Loockup_ObrasGerencia[[#All],[aux]],0)</f>
        <v>#N/A</v>
      </c>
    </row>
    <row r="169" spans="1:27" x14ac:dyDescent="0.25">
      <c r="A169" s="30" t="s">
        <v>384</v>
      </c>
      <c r="B169" s="30" t="s">
        <v>383</v>
      </c>
      <c r="C169" s="30" t="s">
        <v>17</v>
      </c>
      <c r="D169" s="30" t="str" cm="1">
        <f t="array" ref="D169">UPPER(_xlfn.XLOOKUP(Loockup_ObrasGerencia[[#This Row],[OBRA_PRONTO]],Tabla7[[#All],[Obra]],Tabla7[[#All],[Gerente de obra]],"Sin Obra Asignada",0))</f>
        <v>METZLER JAVIER</v>
      </c>
      <c r="E169" s="31" t="str">
        <f>Loockup_ObrasGerencia[[#This Row],[OBRA_PRONTO]]&amp;Loockup_ObrasGerencia[[#This Row],[GERENCIA]]</f>
        <v>00000168METZLER JAVIER</v>
      </c>
      <c r="H169" t="s">
        <v>387</v>
      </c>
      <c r="I169" t="s">
        <v>388</v>
      </c>
      <c r="J169" t="s">
        <v>141</v>
      </c>
      <c r="K169" t="str">
        <f>Tabla7[[#This Row],[Obra]]&amp;Tabla7[[#This Row],[Gerente de obra]]</f>
        <v>00000170Barone Alberto</v>
      </c>
      <c r="L169">
        <f>MATCH(Tabla7[[#This Row],[AUX]],Loockup_ObrasGerencia[[#All],[aux]],0)</f>
        <v>171</v>
      </c>
      <c r="O169" t="str">
        <f>UPPER(GERENCIAS[[#This Row],[Gerente de obra]])</f>
        <v>ORTIZ JUAN MANUEL</v>
      </c>
      <c r="R169" t="s">
        <v>418</v>
      </c>
      <c r="S169" t="s">
        <v>419</v>
      </c>
      <c r="T169" t="s">
        <v>19</v>
      </c>
      <c r="W169" s="8" t="s">
        <v>384</v>
      </c>
      <c r="X169" s="8" t="s">
        <v>383</v>
      </c>
      <c r="Y169" s="8" t="s">
        <v>17</v>
      </c>
      <c r="Z169" t="str">
        <f t="shared" si="2"/>
        <v>00000168SI</v>
      </c>
      <c r="AA169" s="11" t="e">
        <f>MATCH(Tabla9[[#This Row],[AUX]],Loockup_ObrasGerencia[[#All],[aux]],0)</f>
        <v>#N/A</v>
      </c>
    </row>
    <row r="170" spans="1:27" x14ac:dyDescent="0.25">
      <c r="A170" s="30" t="s">
        <v>386</v>
      </c>
      <c r="B170" s="30" t="s">
        <v>385</v>
      </c>
      <c r="C170" s="30" t="s">
        <v>17</v>
      </c>
      <c r="D170" s="30" t="str" cm="1">
        <f t="array" ref="D170">UPPER(_xlfn.XLOOKUP(Loockup_ObrasGerencia[[#This Row],[OBRA_PRONTO]],Tabla7[[#All],[Obra]],Tabla7[[#All],[Gerente de obra]],"Sin Obra Asignada",0))</f>
        <v>ORTIZ JUAN MANUEL</v>
      </c>
      <c r="E170" s="31" t="str">
        <f>Loockup_ObrasGerencia[[#This Row],[OBRA_PRONTO]]&amp;Loockup_ObrasGerencia[[#This Row],[GERENCIA]]</f>
        <v>00000169ORTIZ JUAN MANUEL</v>
      </c>
      <c r="H170" t="s">
        <v>389</v>
      </c>
      <c r="I170" t="s">
        <v>390</v>
      </c>
      <c r="J170" t="s">
        <v>24</v>
      </c>
      <c r="K170" t="str">
        <f>Tabla7[[#This Row],[Obra]]&amp;Tabla7[[#This Row],[Gerente de obra]]</f>
        <v>00000172Trujillo</v>
      </c>
      <c r="L170">
        <f>MATCH(Tabla7[[#This Row],[AUX]],Loockup_ObrasGerencia[[#All],[aux]],0)</f>
        <v>172</v>
      </c>
      <c r="O170" t="str">
        <f>UPPER(GERENCIAS[[#This Row],[Gerente de obra]])</f>
        <v>CARDENAS PABLO</v>
      </c>
      <c r="R170" t="s">
        <v>420</v>
      </c>
      <c r="S170" t="s">
        <v>421</v>
      </c>
      <c r="T170" t="s">
        <v>422</v>
      </c>
      <c r="W170" s="8" t="s">
        <v>386</v>
      </c>
      <c r="X170" s="8" t="s">
        <v>385</v>
      </c>
      <c r="Y170" s="8" t="s">
        <v>17</v>
      </c>
      <c r="Z170" t="str">
        <f t="shared" si="2"/>
        <v>00000169SI</v>
      </c>
      <c r="AA170" s="11" t="e">
        <f>MATCH(Tabla9[[#This Row],[AUX]],Loockup_ObrasGerencia[[#All],[aux]],0)</f>
        <v>#N/A</v>
      </c>
    </row>
    <row r="171" spans="1:27" x14ac:dyDescent="0.25">
      <c r="A171" s="30" t="s">
        <v>388</v>
      </c>
      <c r="B171" s="30" t="s">
        <v>387</v>
      </c>
      <c r="C171" s="30" t="s">
        <v>17</v>
      </c>
      <c r="D171" s="30" t="str" cm="1">
        <f t="array" ref="D171">UPPER(_xlfn.XLOOKUP(Loockup_ObrasGerencia[[#This Row],[OBRA_PRONTO]],Tabla7[[#All],[Obra]],Tabla7[[#All],[Gerente de obra]],"Sin Obra Asignada",0))</f>
        <v>BARONE ALBERTO</v>
      </c>
      <c r="E171" s="31" t="str">
        <f>Loockup_ObrasGerencia[[#This Row],[OBRA_PRONTO]]&amp;Loockup_ObrasGerencia[[#This Row],[GERENCIA]]</f>
        <v>00000170BARONE ALBERTO</v>
      </c>
      <c r="H171" t="s">
        <v>391</v>
      </c>
      <c r="I171" t="s">
        <v>392</v>
      </c>
      <c r="J171" t="s">
        <v>18</v>
      </c>
      <c r="K171" t="str">
        <f>Tabla7[[#This Row],[Obra]]&amp;Tabla7[[#This Row],[Gerente de obra]]</f>
        <v>00000173Ortiz Juan Manuel</v>
      </c>
      <c r="L171">
        <f>MATCH(Tabla7[[#This Row],[AUX]],Loockup_ObrasGerencia[[#All],[aux]],0)</f>
        <v>173</v>
      </c>
      <c r="O171" t="str">
        <f>UPPER(GERENCIAS[[#This Row],[Gerente de obra]])</f>
        <v>BARONE ALBERTO</v>
      </c>
      <c r="R171" t="s">
        <v>423</v>
      </c>
      <c r="S171" t="s">
        <v>424</v>
      </c>
      <c r="T171" t="s">
        <v>132</v>
      </c>
      <c r="W171" s="8" t="s">
        <v>388</v>
      </c>
      <c r="X171" s="8" t="s">
        <v>387</v>
      </c>
      <c r="Y171" s="8" t="s">
        <v>17</v>
      </c>
      <c r="Z171" t="str">
        <f t="shared" si="2"/>
        <v>00000170SI</v>
      </c>
      <c r="AA171" s="11" t="e">
        <f>MATCH(Tabla9[[#This Row],[AUX]],Loockup_ObrasGerencia[[#All],[aux]],0)</f>
        <v>#N/A</v>
      </c>
    </row>
    <row r="172" spans="1:27" x14ac:dyDescent="0.25">
      <c r="A172" s="30" t="s">
        <v>390</v>
      </c>
      <c r="B172" s="30" t="s">
        <v>389</v>
      </c>
      <c r="C172" s="30" t="s">
        <v>17</v>
      </c>
      <c r="D172" s="30" t="str" cm="1">
        <f t="array" ref="D172">UPPER(_xlfn.XLOOKUP(Loockup_ObrasGerencia[[#This Row],[OBRA_PRONTO]],Tabla7[[#All],[Obra]],Tabla7[[#All],[Gerente de obra]],"Sin Obra Asignada",0))</f>
        <v>TRUJILLO</v>
      </c>
      <c r="E172" s="31" t="str">
        <f>Loockup_ObrasGerencia[[#This Row],[OBRA_PRONTO]]&amp;Loockup_ObrasGerencia[[#This Row],[GERENCIA]]</f>
        <v>00000172TRUJILLO</v>
      </c>
      <c r="H172" t="s">
        <v>393</v>
      </c>
      <c r="I172" t="s">
        <v>394</v>
      </c>
      <c r="J172" t="s">
        <v>24</v>
      </c>
      <c r="K172" t="str">
        <f>Tabla7[[#This Row],[Obra]]&amp;Tabla7[[#This Row],[Gerente de obra]]</f>
        <v>00000174Trujillo</v>
      </c>
      <c r="L172">
        <f>MATCH(Tabla7[[#This Row],[AUX]],Loockup_ObrasGerencia[[#All],[aux]],0)</f>
        <v>174</v>
      </c>
      <c r="O172" t="str">
        <f>UPPER(GERENCIAS[[#This Row],[Gerente de obra]])</f>
        <v>TRUJILLO</v>
      </c>
      <c r="R172" t="s">
        <v>425</v>
      </c>
      <c r="S172" t="s">
        <v>426</v>
      </c>
      <c r="T172" t="s">
        <v>25</v>
      </c>
      <c r="W172" s="8" t="s">
        <v>390</v>
      </c>
      <c r="X172" s="8" t="s">
        <v>389</v>
      </c>
      <c r="Y172" s="8" t="s">
        <v>17</v>
      </c>
      <c r="Z172" t="str">
        <f t="shared" si="2"/>
        <v>00000172SI</v>
      </c>
      <c r="AA172" s="11" t="e">
        <f>MATCH(Tabla9[[#This Row],[AUX]],Loockup_ObrasGerencia[[#All],[aux]],0)</f>
        <v>#N/A</v>
      </c>
    </row>
    <row r="173" spans="1:27" x14ac:dyDescent="0.25">
      <c r="A173" s="30" t="s">
        <v>392</v>
      </c>
      <c r="B173" s="30" t="s">
        <v>391</v>
      </c>
      <c r="C173" s="30" t="s">
        <v>17</v>
      </c>
      <c r="D173" s="30" t="str" cm="1">
        <f t="array" ref="D173">UPPER(_xlfn.XLOOKUP(Loockup_ObrasGerencia[[#This Row],[OBRA_PRONTO]],Tabla7[[#All],[Obra]],Tabla7[[#All],[Gerente de obra]],"Sin Obra Asignada",0))</f>
        <v>ORTIZ JUAN MANUEL</v>
      </c>
      <c r="E173" s="31" t="str">
        <f>Loockup_ObrasGerencia[[#This Row],[OBRA_PRONTO]]&amp;Loockup_ObrasGerencia[[#This Row],[GERENCIA]]</f>
        <v>00000173ORTIZ JUAN MANUEL</v>
      </c>
      <c r="H173" t="s">
        <v>395</v>
      </c>
      <c r="I173" t="s">
        <v>396</v>
      </c>
      <c r="J173" t="s">
        <v>271</v>
      </c>
      <c r="K173" t="str">
        <f>Tabla7[[#This Row],[Obra]]&amp;Tabla7[[#This Row],[Gerente de obra]]</f>
        <v>00000175Catriel Gisela</v>
      </c>
      <c r="L173">
        <f>MATCH(Tabla7[[#This Row],[AUX]],Loockup_ObrasGerencia[[#All],[aux]],0)</f>
        <v>175</v>
      </c>
      <c r="O173" t="str">
        <f>UPPER(GERENCIAS[[#This Row],[Gerente de obra]])</f>
        <v>CATRIEL GISELA</v>
      </c>
      <c r="R173" t="s">
        <v>427</v>
      </c>
      <c r="S173" t="s">
        <v>428</v>
      </c>
      <c r="T173" t="s">
        <v>243</v>
      </c>
      <c r="W173" s="8" t="s">
        <v>392</v>
      </c>
      <c r="X173" s="8" t="s">
        <v>391</v>
      </c>
      <c r="Y173" s="8" t="s">
        <v>17</v>
      </c>
      <c r="Z173" t="str">
        <f t="shared" si="2"/>
        <v>00000173SI</v>
      </c>
      <c r="AA173" s="11" t="e">
        <f>MATCH(Tabla9[[#This Row],[AUX]],Loockup_ObrasGerencia[[#All],[aux]],0)</f>
        <v>#N/A</v>
      </c>
    </row>
    <row r="174" spans="1:27" x14ac:dyDescent="0.25">
      <c r="A174" s="30" t="s">
        <v>394</v>
      </c>
      <c r="B174" s="30" t="s">
        <v>393</v>
      </c>
      <c r="C174" s="30" t="s">
        <v>17</v>
      </c>
      <c r="D174" s="30" t="str" cm="1">
        <f t="array" ref="D174">UPPER(_xlfn.XLOOKUP(Loockup_ObrasGerencia[[#This Row],[OBRA_PRONTO]],Tabla7[[#All],[Obra]],Tabla7[[#All],[Gerente de obra]],"Sin Obra Asignada",0))</f>
        <v>TRUJILLO</v>
      </c>
      <c r="E174" s="31" t="str">
        <f>Loockup_ObrasGerencia[[#This Row],[OBRA_PRONTO]]&amp;Loockup_ObrasGerencia[[#This Row],[GERENCIA]]</f>
        <v>00000174TRUJILLO</v>
      </c>
      <c r="H174" t="s">
        <v>398</v>
      </c>
      <c r="I174" t="s">
        <v>399</v>
      </c>
      <c r="J174" t="s">
        <v>79</v>
      </c>
      <c r="K174" t="str">
        <f>Tabla7[[#This Row],[Obra]]&amp;Tabla7[[#This Row],[Gerente de obra]]</f>
        <v>00000176Francisco Di Lisio</v>
      </c>
      <c r="L174">
        <f>MATCH(Tabla7[[#This Row],[AUX]],Loockup_ObrasGerencia[[#All],[aux]],0)</f>
        <v>176</v>
      </c>
      <c r="O174" t="str">
        <f>UPPER(GERENCIAS[[#This Row],[Gerente de obra]])</f>
        <v>CALDERON JUAN IGNACIO</v>
      </c>
      <c r="R174" t="s">
        <v>429</v>
      </c>
      <c r="S174" t="s">
        <v>430</v>
      </c>
      <c r="T174" t="s">
        <v>35</v>
      </c>
      <c r="W174" s="8" t="s">
        <v>394</v>
      </c>
      <c r="X174" s="8" t="s">
        <v>393</v>
      </c>
      <c r="Y174" s="8" t="s">
        <v>17</v>
      </c>
      <c r="Z174" t="str">
        <f t="shared" si="2"/>
        <v>00000174SI</v>
      </c>
      <c r="AA174" s="11" t="e">
        <f>MATCH(Tabla9[[#This Row],[AUX]],Loockup_ObrasGerencia[[#All],[aux]],0)</f>
        <v>#N/A</v>
      </c>
    </row>
    <row r="175" spans="1:27" x14ac:dyDescent="0.25">
      <c r="A175" s="30" t="s">
        <v>396</v>
      </c>
      <c r="B175" s="30" t="s">
        <v>395</v>
      </c>
      <c r="C175" s="30" t="s">
        <v>17</v>
      </c>
      <c r="D175" s="30" t="str" cm="1">
        <f t="array" ref="D175">UPPER(_xlfn.XLOOKUP(Loockup_ObrasGerencia[[#This Row],[OBRA_PRONTO]],Tabla7[[#All],[Obra]],Tabla7[[#All],[Gerente de obra]],"Sin Obra Asignada",0))</f>
        <v>CATRIEL GISELA</v>
      </c>
      <c r="E175" s="31" t="str">
        <f>Loockup_ObrasGerencia[[#This Row],[OBRA_PRONTO]]&amp;Loockup_ObrasGerencia[[#This Row],[GERENCIA]]</f>
        <v>00000175CATRIEL GISELA</v>
      </c>
      <c r="H175" t="s">
        <v>400</v>
      </c>
      <c r="I175" t="s">
        <v>401</v>
      </c>
      <c r="J175" t="s">
        <v>79</v>
      </c>
      <c r="K175" t="str">
        <f>Tabla7[[#This Row],[Obra]]&amp;Tabla7[[#This Row],[Gerente de obra]]</f>
        <v>00000177Francisco Di Lisio</v>
      </c>
      <c r="L175">
        <f>MATCH(Tabla7[[#This Row],[AUX]],Loockup_ObrasGerencia[[#All],[aux]],0)</f>
        <v>177</v>
      </c>
      <c r="O175" t="str">
        <f>UPPER(GERENCIAS[[#This Row],[Gerente de obra]])</f>
        <v>BARONE ALBERTO</v>
      </c>
      <c r="R175" t="s">
        <v>431</v>
      </c>
      <c r="S175" t="s">
        <v>432</v>
      </c>
      <c r="T175" t="s">
        <v>132</v>
      </c>
      <c r="W175" s="8" t="s">
        <v>396</v>
      </c>
      <c r="X175" s="8" t="s">
        <v>395</v>
      </c>
      <c r="Y175" s="8" t="s">
        <v>17</v>
      </c>
      <c r="Z175" t="str">
        <f t="shared" si="2"/>
        <v>00000175SI</v>
      </c>
      <c r="AA175" s="11" t="e">
        <f>MATCH(Tabla9[[#This Row],[AUX]],Loockup_ObrasGerencia[[#All],[aux]],0)</f>
        <v>#N/A</v>
      </c>
    </row>
    <row r="176" spans="1:27" x14ac:dyDescent="0.25">
      <c r="A176" s="30" t="s">
        <v>399</v>
      </c>
      <c r="B176" s="30" t="s">
        <v>398</v>
      </c>
      <c r="C176" s="30" t="s">
        <v>17</v>
      </c>
      <c r="D176" s="30" t="str" cm="1">
        <f t="array" ref="D176">UPPER(_xlfn.XLOOKUP(Loockup_ObrasGerencia[[#This Row],[OBRA_PRONTO]],Tabla7[[#All],[Obra]],Tabla7[[#All],[Gerente de obra]],"Sin Obra Asignada",0))</f>
        <v>FRANCISCO DI LISIO</v>
      </c>
      <c r="E176" s="31" t="str">
        <f>Loockup_ObrasGerencia[[#This Row],[OBRA_PRONTO]]&amp;Loockup_ObrasGerencia[[#This Row],[GERENCIA]]</f>
        <v>00000176FRANCISCO DI LISIO</v>
      </c>
      <c r="H176" t="s">
        <v>402</v>
      </c>
      <c r="I176" t="s">
        <v>403</v>
      </c>
      <c r="J176" t="s">
        <v>141</v>
      </c>
      <c r="K176" t="str">
        <f>Tabla7[[#This Row],[Obra]]&amp;Tabla7[[#This Row],[Gerente de obra]]</f>
        <v>00000178Barone Alberto</v>
      </c>
      <c r="L176">
        <f>MATCH(Tabla7[[#This Row],[AUX]],Loockup_ObrasGerencia[[#All],[aux]],0)</f>
        <v>178</v>
      </c>
      <c r="O176" t="str">
        <f>UPPER(GERENCIAS[[#This Row],[Gerente de obra]])</f>
        <v>BARONE ALBERTO</v>
      </c>
      <c r="R176" t="s">
        <v>433</v>
      </c>
      <c r="S176" t="s">
        <v>434</v>
      </c>
      <c r="T176" t="s">
        <v>132</v>
      </c>
      <c r="W176" s="8" t="s">
        <v>399</v>
      </c>
      <c r="X176" s="8" t="s">
        <v>398</v>
      </c>
      <c r="Y176" s="8" t="s">
        <v>17</v>
      </c>
      <c r="Z176" t="str">
        <f t="shared" si="2"/>
        <v>00000176SI</v>
      </c>
      <c r="AA176" s="11" t="e">
        <f>MATCH(Tabla9[[#This Row],[AUX]],Loockup_ObrasGerencia[[#All],[aux]],0)</f>
        <v>#N/A</v>
      </c>
    </row>
    <row r="177" spans="1:27" x14ac:dyDescent="0.25">
      <c r="A177" s="30" t="s">
        <v>401</v>
      </c>
      <c r="B177" s="30" t="s">
        <v>400</v>
      </c>
      <c r="C177" s="30" t="s">
        <v>17</v>
      </c>
      <c r="D177" s="30" t="str" cm="1">
        <f t="array" ref="D177">UPPER(_xlfn.XLOOKUP(Loockup_ObrasGerencia[[#This Row],[OBRA_PRONTO]],Tabla7[[#All],[Obra]],Tabla7[[#All],[Gerente de obra]],"Sin Obra Asignada",0))</f>
        <v>FRANCISCO DI LISIO</v>
      </c>
      <c r="E177" s="31" t="str">
        <f>Loockup_ObrasGerencia[[#This Row],[OBRA_PRONTO]]&amp;Loockup_ObrasGerencia[[#This Row],[GERENCIA]]</f>
        <v>00000177FRANCISCO DI LISIO</v>
      </c>
      <c r="H177" t="s">
        <v>404</v>
      </c>
      <c r="I177" t="s">
        <v>405</v>
      </c>
      <c r="J177" t="s">
        <v>18</v>
      </c>
      <c r="K177" t="str">
        <f>Tabla7[[#This Row],[Obra]]&amp;Tabla7[[#This Row],[Gerente de obra]]</f>
        <v>00000179Ortiz Juan Manuel</v>
      </c>
      <c r="L177">
        <f>MATCH(Tabla7[[#This Row],[AUX]],Loockup_ObrasGerencia[[#All],[aux]],0)</f>
        <v>179</v>
      </c>
      <c r="O177" t="str">
        <f>UPPER(GERENCIAS[[#This Row],[Gerente de obra]])</f>
        <v>FRANCISCO DI LISIO</v>
      </c>
      <c r="R177" t="s">
        <v>435</v>
      </c>
      <c r="S177" t="s">
        <v>436</v>
      </c>
      <c r="T177" t="s">
        <v>78</v>
      </c>
      <c r="W177" s="8" t="s">
        <v>401</v>
      </c>
      <c r="X177" s="8" t="s">
        <v>400</v>
      </c>
      <c r="Y177" s="8" t="s">
        <v>17</v>
      </c>
      <c r="Z177" t="str">
        <f t="shared" si="2"/>
        <v>00000177SI</v>
      </c>
      <c r="AA177" s="11" t="e">
        <f>MATCH(Tabla9[[#This Row],[AUX]],Loockup_ObrasGerencia[[#All],[aux]],0)</f>
        <v>#N/A</v>
      </c>
    </row>
    <row r="178" spans="1:27" x14ac:dyDescent="0.25">
      <c r="A178" s="30" t="s">
        <v>403</v>
      </c>
      <c r="B178" s="30" t="s">
        <v>402</v>
      </c>
      <c r="C178" s="30" t="s">
        <v>17</v>
      </c>
      <c r="D178" s="30" t="str" cm="1">
        <f t="array" ref="D178">UPPER(_xlfn.XLOOKUP(Loockup_ObrasGerencia[[#This Row],[OBRA_PRONTO]],Tabla7[[#All],[Obra]],Tabla7[[#All],[Gerente de obra]],"Sin Obra Asignada",0))</f>
        <v>BARONE ALBERTO</v>
      </c>
      <c r="E178" s="31" t="str">
        <f>Loockup_ObrasGerencia[[#This Row],[OBRA_PRONTO]]&amp;Loockup_ObrasGerencia[[#This Row],[GERENCIA]]</f>
        <v>00000178BARONE ALBERTO</v>
      </c>
      <c r="H178" t="s">
        <v>406</v>
      </c>
      <c r="I178" t="s">
        <v>407</v>
      </c>
      <c r="J178" t="s">
        <v>79</v>
      </c>
      <c r="K178" t="str">
        <f>Tabla7[[#This Row],[Obra]]&amp;Tabla7[[#This Row],[Gerente de obra]]</f>
        <v>00000180Francisco Di Lisio</v>
      </c>
      <c r="L178">
        <f>MATCH(Tabla7[[#This Row],[AUX]],Loockup_ObrasGerencia[[#All],[aux]],0)</f>
        <v>180</v>
      </c>
      <c r="O178" t="str">
        <f>UPPER(GERENCIAS[[#This Row],[Gerente de obra]])</f>
        <v>ORTIZ JUAN MANUEL</v>
      </c>
      <c r="R178" t="s">
        <v>437</v>
      </c>
      <c r="S178" t="s">
        <v>438</v>
      </c>
      <c r="T178" t="s">
        <v>19</v>
      </c>
      <c r="W178" s="8" t="s">
        <v>403</v>
      </c>
      <c r="X178" s="8" t="s">
        <v>402</v>
      </c>
      <c r="Y178" s="8" t="s">
        <v>17</v>
      </c>
      <c r="Z178" t="str">
        <f t="shared" si="2"/>
        <v>00000178SI</v>
      </c>
      <c r="AA178" s="11" t="e">
        <f>MATCH(Tabla9[[#This Row],[AUX]],Loockup_ObrasGerencia[[#All],[aux]],0)</f>
        <v>#N/A</v>
      </c>
    </row>
    <row r="179" spans="1:27" x14ac:dyDescent="0.25">
      <c r="A179" s="30" t="s">
        <v>405</v>
      </c>
      <c r="B179" s="30" t="s">
        <v>404</v>
      </c>
      <c r="C179" s="30" t="s">
        <v>17</v>
      </c>
      <c r="D179" s="30" t="str" cm="1">
        <f t="array" ref="D179">UPPER(_xlfn.XLOOKUP(Loockup_ObrasGerencia[[#This Row],[OBRA_PRONTO]],Tabla7[[#All],[Obra]],Tabla7[[#All],[Gerente de obra]],"Sin Obra Asignada",0))</f>
        <v>ORTIZ JUAN MANUEL</v>
      </c>
      <c r="E179" s="31" t="str">
        <f>Loockup_ObrasGerencia[[#This Row],[OBRA_PRONTO]]&amp;Loockup_ObrasGerencia[[#This Row],[GERENCIA]]</f>
        <v>00000179ORTIZ JUAN MANUEL</v>
      </c>
      <c r="H179" t="s">
        <v>408</v>
      </c>
      <c r="I179" t="s">
        <v>409</v>
      </c>
      <c r="J179" t="s">
        <v>141</v>
      </c>
      <c r="K179" t="str">
        <f>Tabla7[[#This Row],[Obra]]&amp;Tabla7[[#This Row],[Gerente de obra]]</f>
        <v>00000181Barone Alberto</v>
      </c>
      <c r="L179">
        <f>MATCH(Tabla7[[#This Row],[AUX]],Loockup_ObrasGerencia[[#All],[aux]],0)</f>
        <v>181</v>
      </c>
      <c r="O179" t="str">
        <f>UPPER(GERENCIAS[[#This Row],[Gerente de obra]])</f>
        <v>BARONE ALBERTO</v>
      </c>
      <c r="R179" t="s">
        <v>439</v>
      </c>
      <c r="S179" t="s">
        <v>440</v>
      </c>
      <c r="T179" t="s">
        <v>132</v>
      </c>
      <c r="W179" s="8" t="s">
        <v>405</v>
      </c>
      <c r="X179" s="8" t="s">
        <v>404</v>
      </c>
      <c r="Y179" s="8" t="s">
        <v>17</v>
      </c>
      <c r="Z179" t="str">
        <f t="shared" si="2"/>
        <v>00000179SI</v>
      </c>
      <c r="AA179" s="11" t="e">
        <f>MATCH(Tabla9[[#This Row],[AUX]],Loockup_ObrasGerencia[[#All],[aux]],0)</f>
        <v>#N/A</v>
      </c>
    </row>
    <row r="180" spans="1:27" x14ac:dyDescent="0.25">
      <c r="A180" s="30" t="s">
        <v>407</v>
      </c>
      <c r="B180" s="30" t="s">
        <v>406</v>
      </c>
      <c r="C180" s="30" t="s">
        <v>270</v>
      </c>
      <c r="D180" s="30" t="str" cm="1">
        <f t="array" ref="D180">UPPER(_xlfn.XLOOKUP(Loockup_ObrasGerencia[[#This Row],[OBRA_PRONTO]],Tabla7[[#All],[Obra]],Tabla7[[#All],[Gerente de obra]],"Sin Obra Asignada",0))</f>
        <v>FRANCISCO DI LISIO</v>
      </c>
      <c r="E180" s="31" t="str">
        <f>Loockup_ObrasGerencia[[#This Row],[OBRA_PRONTO]]&amp;Loockup_ObrasGerencia[[#This Row],[GERENCIA]]</f>
        <v>00000180FRANCISCO DI LISIO</v>
      </c>
      <c r="H180" t="s">
        <v>410</v>
      </c>
      <c r="I180" t="s">
        <v>411</v>
      </c>
      <c r="J180" t="s">
        <v>69</v>
      </c>
      <c r="K180" t="str">
        <f>Tabla7[[#This Row],[Obra]]&amp;Tabla7[[#This Row],[Gerente de obra]]</f>
        <v>00000182Metzler Javier</v>
      </c>
      <c r="L180">
        <f>MATCH(Tabla7[[#This Row],[AUX]],Loockup_ObrasGerencia[[#All],[aux]],0)</f>
        <v>182</v>
      </c>
      <c r="O180" t="str">
        <f>UPPER(GERENCIAS[[#This Row],[Gerente de obra]])</f>
        <v>FRANCISCO DI LISIO</v>
      </c>
      <c r="R180" t="s">
        <v>441</v>
      </c>
      <c r="S180" t="s">
        <v>442</v>
      </c>
      <c r="T180" t="s">
        <v>78</v>
      </c>
      <c r="W180" s="8" t="s">
        <v>407</v>
      </c>
      <c r="X180" s="8" t="s">
        <v>406</v>
      </c>
      <c r="Y180" s="8" t="s">
        <v>270</v>
      </c>
      <c r="Z180" t="str">
        <f t="shared" si="2"/>
        <v>00000180ACTIVOS</v>
      </c>
      <c r="AA180" s="11" t="e">
        <f>MATCH(Tabla9[[#This Row],[AUX]],Loockup_ObrasGerencia[[#All],[aux]],0)</f>
        <v>#N/A</v>
      </c>
    </row>
    <row r="181" spans="1:27" x14ac:dyDescent="0.25">
      <c r="A181" s="30" t="s">
        <v>409</v>
      </c>
      <c r="B181" s="30" t="s">
        <v>408</v>
      </c>
      <c r="C181" s="30" t="s">
        <v>17</v>
      </c>
      <c r="D181" s="30" t="str" cm="1">
        <f t="array" ref="D181">UPPER(_xlfn.XLOOKUP(Loockup_ObrasGerencia[[#This Row],[OBRA_PRONTO]],Tabla7[[#All],[Obra]],Tabla7[[#All],[Gerente de obra]],"Sin Obra Asignada",0))</f>
        <v>BARONE ALBERTO</v>
      </c>
      <c r="E181" s="31" t="str">
        <f>Loockup_ObrasGerencia[[#This Row],[OBRA_PRONTO]]&amp;Loockup_ObrasGerencia[[#This Row],[GERENCIA]]</f>
        <v>00000181BARONE ALBERTO</v>
      </c>
      <c r="H181" t="s">
        <v>412</v>
      </c>
      <c r="I181" t="s">
        <v>413</v>
      </c>
      <c r="J181" t="s">
        <v>271</v>
      </c>
      <c r="K181" t="str">
        <f>Tabla7[[#This Row],[Obra]]&amp;Tabla7[[#This Row],[Gerente de obra]]</f>
        <v>00000183Catriel Gisela</v>
      </c>
      <c r="L181">
        <f>MATCH(Tabla7[[#This Row],[AUX]],Loockup_ObrasGerencia[[#All],[aux]],0)</f>
        <v>183</v>
      </c>
      <c r="O181" t="str">
        <f>UPPER(GERENCIAS[[#This Row],[Gerente de obra]])</f>
        <v>ORTIZ JUAN MANUEL</v>
      </c>
      <c r="R181" t="s">
        <v>443</v>
      </c>
      <c r="S181" t="s">
        <v>444</v>
      </c>
      <c r="T181" t="s">
        <v>19</v>
      </c>
      <c r="W181" s="8" t="s">
        <v>409</v>
      </c>
      <c r="X181" s="8" t="s">
        <v>408</v>
      </c>
      <c r="Y181" s="8" t="s">
        <v>17</v>
      </c>
      <c r="Z181" t="str">
        <f t="shared" si="2"/>
        <v>00000181SI</v>
      </c>
      <c r="AA181" s="11" t="e">
        <f>MATCH(Tabla9[[#This Row],[AUX]],Loockup_ObrasGerencia[[#All],[aux]],0)</f>
        <v>#N/A</v>
      </c>
    </row>
    <row r="182" spans="1:27" x14ac:dyDescent="0.25">
      <c r="A182" s="30" t="s">
        <v>411</v>
      </c>
      <c r="B182" s="30" t="s">
        <v>410</v>
      </c>
      <c r="C182" s="30" t="s">
        <v>17</v>
      </c>
      <c r="D182" s="30" t="str" cm="1">
        <f t="array" ref="D182">UPPER(_xlfn.XLOOKUP(Loockup_ObrasGerencia[[#This Row],[OBRA_PRONTO]],Tabla7[[#All],[Obra]],Tabla7[[#All],[Gerente de obra]],"Sin Obra Asignada",0))</f>
        <v>METZLER JAVIER</v>
      </c>
      <c r="E182" s="31" t="str">
        <f>Loockup_ObrasGerencia[[#This Row],[OBRA_PRONTO]]&amp;Loockup_ObrasGerencia[[#This Row],[GERENCIA]]</f>
        <v>00000182METZLER JAVIER</v>
      </c>
      <c r="H182" t="s">
        <v>414</v>
      </c>
      <c r="I182" t="s">
        <v>415</v>
      </c>
      <c r="J182" t="s">
        <v>397</v>
      </c>
      <c r="K182" t="str">
        <f>Tabla7[[#This Row],[Obra]]&amp;Tabla7[[#This Row],[Gerente de obra]]</f>
        <v>00000184Gonzalo Silva</v>
      </c>
      <c r="L182">
        <f>MATCH(Tabla7[[#This Row],[AUX]],Loockup_ObrasGerencia[[#All],[aux]],0)</f>
        <v>184</v>
      </c>
      <c r="O182" t="str">
        <f>UPPER(GERENCIAS[[#This Row],[Gerente de obra]])</f>
        <v>FANJUL NICOLÁS</v>
      </c>
      <c r="R182" t="s">
        <v>445</v>
      </c>
      <c r="S182" t="s">
        <v>446</v>
      </c>
      <c r="T182" t="s">
        <v>226</v>
      </c>
      <c r="W182" s="8" t="s">
        <v>411</v>
      </c>
      <c r="X182" s="8" t="s">
        <v>410</v>
      </c>
      <c r="Y182" s="8" t="s">
        <v>17</v>
      </c>
      <c r="Z182" t="str">
        <f t="shared" si="2"/>
        <v>00000182SI</v>
      </c>
      <c r="AA182" s="11" t="e">
        <f>MATCH(Tabla9[[#This Row],[AUX]],Loockup_ObrasGerencia[[#All],[aux]],0)</f>
        <v>#N/A</v>
      </c>
    </row>
    <row r="183" spans="1:27" x14ac:dyDescent="0.25">
      <c r="A183" s="30" t="s">
        <v>413</v>
      </c>
      <c r="B183" s="30" t="s">
        <v>412</v>
      </c>
      <c r="C183" s="30" t="s">
        <v>17</v>
      </c>
      <c r="D183" s="30" t="str" cm="1">
        <f t="array" ref="D183">UPPER(_xlfn.XLOOKUP(Loockup_ObrasGerencia[[#This Row],[OBRA_PRONTO]],Tabla7[[#All],[Obra]],Tabla7[[#All],[Gerente de obra]],"Sin Obra Asignada",0))</f>
        <v>CATRIEL GISELA</v>
      </c>
      <c r="E183" s="31" t="str">
        <f>Loockup_ObrasGerencia[[#This Row],[OBRA_PRONTO]]&amp;Loockup_ObrasGerencia[[#This Row],[GERENCIA]]</f>
        <v>00000183CATRIEL GISELA</v>
      </c>
      <c r="H183" t="s">
        <v>416</v>
      </c>
      <c r="I183" t="s">
        <v>417</v>
      </c>
      <c r="J183" t="s">
        <v>79</v>
      </c>
      <c r="K183" t="str">
        <f>Tabla7[[#This Row],[Obra]]&amp;Tabla7[[#This Row],[Gerente de obra]]</f>
        <v>00000185Francisco Di Lisio</v>
      </c>
      <c r="L183">
        <f>MATCH(Tabla7[[#This Row],[AUX]],Loockup_ObrasGerencia[[#All],[aux]],0)</f>
        <v>185</v>
      </c>
      <c r="O183" t="str">
        <f>UPPER(GERENCIAS[[#This Row],[Gerente de obra]])</f>
        <v>FANJUL NICOLÁS</v>
      </c>
      <c r="R183" t="s">
        <v>447</v>
      </c>
      <c r="S183" t="s">
        <v>448</v>
      </c>
      <c r="T183" t="s">
        <v>226</v>
      </c>
      <c r="W183" s="8" t="s">
        <v>413</v>
      </c>
      <c r="X183" s="8" t="s">
        <v>412</v>
      </c>
      <c r="Y183" s="8" t="s">
        <v>17</v>
      </c>
      <c r="Z183" t="str">
        <f t="shared" si="2"/>
        <v>00000183SI</v>
      </c>
      <c r="AA183" s="11" t="e">
        <f>MATCH(Tabla9[[#This Row],[AUX]],Loockup_ObrasGerencia[[#All],[aux]],0)</f>
        <v>#N/A</v>
      </c>
    </row>
    <row r="184" spans="1:27" x14ac:dyDescent="0.25">
      <c r="A184" s="30" t="s">
        <v>415</v>
      </c>
      <c r="B184" s="30" t="s">
        <v>414</v>
      </c>
      <c r="C184" s="30" t="s">
        <v>17</v>
      </c>
      <c r="D184" s="30" t="str" cm="1">
        <f t="array" ref="D184">UPPER(_xlfn.XLOOKUP(Loockup_ObrasGerencia[[#This Row],[OBRA_PRONTO]],Tabla7[[#All],[Obra]],Tabla7[[#All],[Gerente de obra]],"Sin Obra Asignada",0))</f>
        <v>GONZALO SILVA</v>
      </c>
      <c r="E184" s="31" t="str">
        <f>Loockup_ObrasGerencia[[#This Row],[OBRA_PRONTO]]&amp;Loockup_ObrasGerencia[[#This Row],[GERENCIA]]</f>
        <v>00000184GONZALO SILVA</v>
      </c>
      <c r="H184" t="s">
        <v>418</v>
      </c>
      <c r="I184" t="s">
        <v>419</v>
      </c>
      <c r="J184" t="s">
        <v>18</v>
      </c>
      <c r="K184" t="str">
        <f>Tabla7[[#This Row],[Obra]]&amp;Tabla7[[#This Row],[Gerente de obra]]</f>
        <v>00000186Ortiz Juan Manuel</v>
      </c>
      <c r="L184">
        <f>MATCH(Tabla7[[#This Row],[AUX]],Loockup_ObrasGerencia[[#All],[aux]],0)</f>
        <v>186</v>
      </c>
      <c r="O184" t="str">
        <f>UPPER(GERENCIAS[[#This Row],[Gerente de obra]])</f>
        <v>FANJUL NICOLÁS</v>
      </c>
      <c r="R184" t="s">
        <v>449</v>
      </c>
      <c r="S184" t="s">
        <v>450</v>
      </c>
      <c r="T184" t="s">
        <v>226</v>
      </c>
      <c r="W184" s="8" t="s">
        <v>415</v>
      </c>
      <c r="X184" s="8" t="s">
        <v>414</v>
      </c>
      <c r="Y184" s="8" t="s">
        <v>17</v>
      </c>
      <c r="Z184" t="str">
        <f t="shared" si="2"/>
        <v>00000184SI</v>
      </c>
      <c r="AA184" s="11" t="e">
        <f>MATCH(Tabla9[[#This Row],[AUX]],Loockup_ObrasGerencia[[#All],[aux]],0)</f>
        <v>#N/A</v>
      </c>
    </row>
    <row r="185" spans="1:27" x14ac:dyDescent="0.25">
      <c r="A185" s="30" t="s">
        <v>417</v>
      </c>
      <c r="B185" s="30" t="s">
        <v>416</v>
      </c>
      <c r="C185" s="30" t="s">
        <v>17</v>
      </c>
      <c r="D185" s="30" t="str" cm="1">
        <f t="array" ref="D185">UPPER(_xlfn.XLOOKUP(Loockup_ObrasGerencia[[#This Row],[OBRA_PRONTO]],Tabla7[[#All],[Obra]],Tabla7[[#All],[Gerente de obra]],"Sin Obra Asignada",0))</f>
        <v>FRANCISCO DI LISIO</v>
      </c>
      <c r="E185" s="31" t="str">
        <f>Loockup_ObrasGerencia[[#This Row],[OBRA_PRONTO]]&amp;Loockup_ObrasGerencia[[#This Row],[GERENCIA]]</f>
        <v>00000185FRANCISCO DI LISIO</v>
      </c>
      <c r="H185" t="s">
        <v>420</v>
      </c>
      <c r="I185" t="s">
        <v>421</v>
      </c>
      <c r="J185" t="s">
        <v>451</v>
      </c>
      <c r="K185" t="str">
        <f>Tabla7[[#This Row],[Obra]]&amp;Tabla7[[#This Row],[Gerente de obra]]</f>
        <v>00000187Cardenas Pablo</v>
      </c>
      <c r="L185">
        <f>MATCH(Tabla7[[#This Row],[AUX]],Loockup_ObrasGerencia[[#All],[aux]],0)</f>
        <v>187</v>
      </c>
      <c r="O185" t="str">
        <f>UPPER(GERENCIAS[[#This Row],[Gerente de obra]])</f>
        <v>FRANCISCO DI LISIO</v>
      </c>
      <c r="R185" t="s">
        <v>452</v>
      </c>
      <c r="S185" t="s">
        <v>453</v>
      </c>
      <c r="T185" t="s">
        <v>78</v>
      </c>
      <c r="W185" s="8" t="s">
        <v>417</v>
      </c>
      <c r="X185" s="8" t="s">
        <v>416</v>
      </c>
      <c r="Y185" s="8" t="s">
        <v>17</v>
      </c>
      <c r="Z185" t="str">
        <f t="shared" si="2"/>
        <v>00000185SI</v>
      </c>
      <c r="AA185" s="11" t="e">
        <f>MATCH(Tabla9[[#This Row],[AUX]],Loockup_ObrasGerencia[[#All],[aux]],0)</f>
        <v>#N/A</v>
      </c>
    </row>
    <row r="186" spans="1:27" x14ac:dyDescent="0.25">
      <c r="A186" s="30" t="s">
        <v>419</v>
      </c>
      <c r="B186" s="30" t="s">
        <v>418</v>
      </c>
      <c r="C186" s="30" t="s">
        <v>17</v>
      </c>
      <c r="D186" s="30" t="str" cm="1">
        <f t="array" ref="D186">UPPER(_xlfn.XLOOKUP(Loockup_ObrasGerencia[[#This Row],[OBRA_PRONTO]],Tabla7[[#All],[Obra]],Tabla7[[#All],[Gerente de obra]],"Sin Obra Asignada",0))</f>
        <v>ORTIZ JUAN MANUEL</v>
      </c>
      <c r="E186" s="31" t="str">
        <f>Loockup_ObrasGerencia[[#This Row],[OBRA_PRONTO]]&amp;Loockup_ObrasGerencia[[#This Row],[GERENCIA]]</f>
        <v>00000186ORTIZ JUAN MANUEL</v>
      </c>
      <c r="H186" t="s">
        <v>423</v>
      </c>
      <c r="I186" t="s">
        <v>424</v>
      </c>
      <c r="J186" t="s">
        <v>141</v>
      </c>
      <c r="K186" t="str">
        <f>Tabla7[[#This Row],[Obra]]&amp;Tabla7[[#This Row],[Gerente de obra]]</f>
        <v>00000188Barone Alberto</v>
      </c>
      <c r="L186">
        <f>MATCH(Tabla7[[#This Row],[AUX]],Loockup_ObrasGerencia[[#All],[aux]],0)</f>
        <v>188</v>
      </c>
      <c r="O186" t="str">
        <f>UPPER(GERENCIAS[[#This Row],[Gerente de obra]])</f>
        <v>FRANCISCO DI LISIO</v>
      </c>
      <c r="R186" t="s">
        <v>454</v>
      </c>
      <c r="S186" t="s">
        <v>455</v>
      </c>
      <c r="T186" t="s">
        <v>78</v>
      </c>
      <c r="W186" s="8" t="s">
        <v>419</v>
      </c>
      <c r="X186" s="8" t="s">
        <v>418</v>
      </c>
      <c r="Y186" s="8" t="s">
        <v>17</v>
      </c>
      <c r="Z186" t="str">
        <f t="shared" si="2"/>
        <v>00000186SI</v>
      </c>
      <c r="AA186" s="11" t="e">
        <f>MATCH(Tabla9[[#This Row],[AUX]],Loockup_ObrasGerencia[[#All],[aux]],0)</f>
        <v>#N/A</v>
      </c>
    </row>
    <row r="187" spans="1:27" x14ac:dyDescent="0.25">
      <c r="A187" s="30" t="s">
        <v>421</v>
      </c>
      <c r="B187" s="30" t="s">
        <v>420</v>
      </c>
      <c r="C187" s="30" t="s">
        <v>17</v>
      </c>
      <c r="D187" s="30" t="str" cm="1">
        <f t="array" ref="D187">UPPER(_xlfn.XLOOKUP(Loockup_ObrasGerencia[[#This Row],[OBRA_PRONTO]],Tabla7[[#All],[Obra]],Tabla7[[#All],[Gerente de obra]],"Sin Obra Asignada",0))</f>
        <v>CARDENAS PABLO</v>
      </c>
      <c r="E187" s="31" t="str">
        <f>Loockup_ObrasGerencia[[#This Row],[OBRA_PRONTO]]&amp;Loockup_ObrasGerencia[[#This Row],[GERENCIA]]</f>
        <v>00000187CARDENAS PABLO</v>
      </c>
      <c r="H187" t="s">
        <v>425</v>
      </c>
      <c r="I187" t="s">
        <v>426</v>
      </c>
      <c r="J187" t="s">
        <v>24</v>
      </c>
      <c r="K187" t="str">
        <f>Tabla7[[#This Row],[Obra]]&amp;Tabla7[[#This Row],[Gerente de obra]]</f>
        <v>00000189Trujillo</v>
      </c>
      <c r="L187">
        <f>MATCH(Tabla7[[#This Row],[AUX]],Loockup_ObrasGerencia[[#All],[aux]],0)</f>
        <v>189</v>
      </c>
      <c r="O187" t="str">
        <f>UPPER(GERENCIAS[[#This Row],[Gerente de obra]])</f>
        <v>BARONE ALBERTO</v>
      </c>
      <c r="R187" t="s">
        <v>456</v>
      </c>
      <c r="S187" t="s">
        <v>457</v>
      </c>
      <c r="T187" t="s">
        <v>132</v>
      </c>
      <c r="W187" s="8" t="s">
        <v>421</v>
      </c>
      <c r="X187" s="8" t="s">
        <v>420</v>
      </c>
      <c r="Y187" s="8" t="s">
        <v>17</v>
      </c>
      <c r="Z187" t="str">
        <f t="shared" si="2"/>
        <v>00000187SI</v>
      </c>
      <c r="AA187" s="11" t="e">
        <f>MATCH(Tabla9[[#This Row],[AUX]],Loockup_ObrasGerencia[[#All],[aux]],0)</f>
        <v>#N/A</v>
      </c>
    </row>
    <row r="188" spans="1:27" x14ac:dyDescent="0.25">
      <c r="A188" s="30" t="s">
        <v>424</v>
      </c>
      <c r="B188" s="30" t="s">
        <v>423</v>
      </c>
      <c r="C188" s="30" t="s">
        <v>17</v>
      </c>
      <c r="D188" s="30" t="str" cm="1">
        <f t="array" ref="D188">UPPER(_xlfn.XLOOKUP(Loockup_ObrasGerencia[[#This Row],[OBRA_PRONTO]],Tabla7[[#All],[Obra]],Tabla7[[#All],[Gerente de obra]],"Sin Obra Asignada",0))</f>
        <v>BARONE ALBERTO</v>
      </c>
      <c r="E188" s="31" t="str">
        <f>Loockup_ObrasGerencia[[#This Row],[OBRA_PRONTO]]&amp;Loockup_ObrasGerencia[[#This Row],[GERENCIA]]</f>
        <v>00000188BARONE ALBERTO</v>
      </c>
      <c r="H188" t="s">
        <v>427</v>
      </c>
      <c r="I188" t="s">
        <v>428</v>
      </c>
      <c r="J188" t="s">
        <v>271</v>
      </c>
      <c r="K188" t="str">
        <f>Tabla7[[#This Row],[Obra]]&amp;Tabla7[[#This Row],[Gerente de obra]]</f>
        <v>00000190Catriel Gisela</v>
      </c>
      <c r="L188">
        <f>MATCH(Tabla7[[#This Row],[AUX]],Loockup_ObrasGerencia[[#All],[aux]],0)</f>
        <v>190</v>
      </c>
      <c r="O188" t="str">
        <f>UPPER(GERENCIAS[[#This Row],[Gerente de obra]])</f>
        <v>CATRIEL GISELA</v>
      </c>
      <c r="R188" t="s">
        <v>458</v>
      </c>
      <c r="S188" t="s">
        <v>459</v>
      </c>
      <c r="T188" t="s">
        <v>243</v>
      </c>
      <c r="W188" s="8" t="s">
        <v>424</v>
      </c>
      <c r="X188" s="8" t="s">
        <v>423</v>
      </c>
      <c r="Y188" s="8" t="s">
        <v>17</v>
      </c>
      <c r="Z188" t="str">
        <f t="shared" si="2"/>
        <v>00000188SI</v>
      </c>
      <c r="AA188" s="11" t="e">
        <f>MATCH(Tabla9[[#This Row],[AUX]],Loockup_ObrasGerencia[[#All],[aux]],0)</f>
        <v>#N/A</v>
      </c>
    </row>
    <row r="189" spans="1:27" x14ac:dyDescent="0.25">
      <c r="A189" s="30" t="s">
        <v>426</v>
      </c>
      <c r="B189" s="30" t="s">
        <v>425</v>
      </c>
      <c r="C189" s="30" t="s">
        <v>17</v>
      </c>
      <c r="D189" s="30" t="str" cm="1">
        <f t="array" ref="D189">UPPER(_xlfn.XLOOKUP(Loockup_ObrasGerencia[[#This Row],[OBRA_PRONTO]],Tabla7[[#All],[Obra]],Tabla7[[#All],[Gerente de obra]],"Sin Obra Asignada",0))</f>
        <v>TRUJILLO</v>
      </c>
      <c r="E189" s="31" t="str">
        <f>Loockup_ObrasGerencia[[#This Row],[OBRA_PRONTO]]&amp;Loockup_ObrasGerencia[[#This Row],[GERENCIA]]</f>
        <v>00000189TRUJILLO</v>
      </c>
      <c r="H189" t="s">
        <v>429</v>
      </c>
      <c r="I189" t="s">
        <v>430</v>
      </c>
      <c r="J189" t="s">
        <v>34</v>
      </c>
      <c r="K189" t="str">
        <f>Tabla7[[#This Row],[Obra]]&amp;Tabla7[[#This Row],[Gerente de obra]]</f>
        <v>00000191Calderon Juan Ignacio</v>
      </c>
      <c r="L189">
        <f>MATCH(Tabla7[[#This Row],[AUX]],Loockup_ObrasGerencia[[#All],[aux]],0)</f>
        <v>191</v>
      </c>
      <c r="O189" t="str">
        <f>UPPER(GERENCIAS[[#This Row],[Gerente de obra]])</f>
        <v>CATRIEL GISELA</v>
      </c>
      <c r="R189" t="s">
        <v>460</v>
      </c>
      <c r="S189" t="s">
        <v>461</v>
      </c>
      <c r="T189" t="s">
        <v>243</v>
      </c>
      <c r="W189" s="8" t="s">
        <v>426</v>
      </c>
      <c r="X189" s="8" t="s">
        <v>425</v>
      </c>
      <c r="Y189" s="8" t="s">
        <v>17</v>
      </c>
      <c r="Z189" t="str">
        <f t="shared" si="2"/>
        <v>00000189SI</v>
      </c>
      <c r="AA189" s="11" t="e">
        <f>MATCH(Tabla9[[#This Row],[AUX]],Loockup_ObrasGerencia[[#All],[aux]],0)</f>
        <v>#N/A</v>
      </c>
    </row>
    <row r="190" spans="1:27" x14ac:dyDescent="0.25">
      <c r="A190" s="30" t="s">
        <v>428</v>
      </c>
      <c r="B190" s="30" t="s">
        <v>427</v>
      </c>
      <c r="C190" s="30" t="s">
        <v>17</v>
      </c>
      <c r="D190" s="30" t="str" cm="1">
        <f t="array" ref="D190">UPPER(_xlfn.XLOOKUP(Loockup_ObrasGerencia[[#This Row],[OBRA_PRONTO]],Tabla7[[#All],[Obra]],Tabla7[[#All],[Gerente de obra]],"Sin Obra Asignada",0))</f>
        <v>CATRIEL GISELA</v>
      </c>
      <c r="E190" s="31" t="str">
        <f>Loockup_ObrasGerencia[[#This Row],[OBRA_PRONTO]]&amp;Loockup_ObrasGerencia[[#This Row],[GERENCIA]]</f>
        <v>00000190CATRIEL GISELA</v>
      </c>
      <c r="H190" t="s">
        <v>431</v>
      </c>
      <c r="I190" t="s">
        <v>432</v>
      </c>
      <c r="J190" t="s">
        <v>141</v>
      </c>
      <c r="K190" t="str">
        <f>Tabla7[[#This Row],[Obra]]&amp;Tabla7[[#This Row],[Gerente de obra]]</f>
        <v>00000192Barone Alberto</v>
      </c>
      <c r="L190">
        <f>MATCH(Tabla7[[#This Row],[AUX]],Loockup_ObrasGerencia[[#All],[aux]],0)</f>
        <v>192</v>
      </c>
      <c r="O190" t="str">
        <f>UPPER(GERENCIAS[[#This Row],[Gerente de obra]])</f>
        <v>CATRIEL GISELA</v>
      </c>
      <c r="R190" t="s">
        <v>462</v>
      </c>
      <c r="S190" t="s">
        <v>463</v>
      </c>
      <c r="T190" t="s">
        <v>243</v>
      </c>
      <c r="W190" s="8" t="s">
        <v>428</v>
      </c>
      <c r="X190" s="8" t="s">
        <v>427</v>
      </c>
      <c r="Y190" s="8" t="s">
        <v>17</v>
      </c>
      <c r="Z190" t="str">
        <f t="shared" si="2"/>
        <v>00000190SI</v>
      </c>
      <c r="AA190" s="11" t="e">
        <f>MATCH(Tabla9[[#This Row],[AUX]],Loockup_ObrasGerencia[[#All],[aux]],0)</f>
        <v>#N/A</v>
      </c>
    </row>
    <row r="191" spans="1:27" x14ac:dyDescent="0.25">
      <c r="A191" s="30" t="s">
        <v>430</v>
      </c>
      <c r="B191" s="30" t="s">
        <v>429</v>
      </c>
      <c r="C191" s="30" t="s">
        <v>17</v>
      </c>
      <c r="D191" s="30" t="str" cm="1">
        <f t="array" ref="D191">UPPER(_xlfn.XLOOKUP(Loockup_ObrasGerencia[[#This Row],[OBRA_PRONTO]],Tabla7[[#All],[Obra]],Tabla7[[#All],[Gerente de obra]],"Sin Obra Asignada",0))</f>
        <v>CALDERON JUAN IGNACIO</v>
      </c>
      <c r="E191" s="31" t="str">
        <f>Loockup_ObrasGerencia[[#This Row],[OBRA_PRONTO]]&amp;Loockup_ObrasGerencia[[#This Row],[GERENCIA]]</f>
        <v>00000191CALDERON JUAN IGNACIO</v>
      </c>
      <c r="H191" t="s">
        <v>433</v>
      </c>
      <c r="I191" t="s">
        <v>434</v>
      </c>
      <c r="J191" t="s">
        <v>141</v>
      </c>
      <c r="K191" t="str">
        <f>Tabla7[[#This Row],[Obra]]&amp;Tabla7[[#This Row],[Gerente de obra]]</f>
        <v>00000193Barone Alberto</v>
      </c>
      <c r="L191">
        <f>MATCH(Tabla7[[#This Row],[AUX]],Loockup_ObrasGerencia[[#All],[aux]],0)</f>
        <v>193</v>
      </c>
      <c r="O191" t="str">
        <f>UPPER(GERENCIAS[[#This Row],[Gerente de obra]])</f>
        <v>BARONE ALBERTO</v>
      </c>
      <c r="R191" t="s">
        <v>464</v>
      </c>
      <c r="S191" t="s">
        <v>465</v>
      </c>
      <c r="T191" t="s">
        <v>132</v>
      </c>
      <c r="W191" s="8" t="s">
        <v>430</v>
      </c>
      <c r="X191" s="8" t="s">
        <v>429</v>
      </c>
      <c r="Y191" s="8" t="s">
        <v>17</v>
      </c>
      <c r="Z191" t="str">
        <f t="shared" si="2"/>
        <v>00000191SI</v>
      </c>
      <c r="AA191" s="11" t="e">
        <f>MATCH(Tabla9[[#This Row],[AUX]],Loockup_ObrasGerencia[[#All],[aux]],0)</f>
        <v>#N/A</v>
      </c>
    </row>
    <row r="192" spans="1:27" x14ac:dyDescent="0.25">
      <c r="A192" s="30" t="s">
        <v>432</v>
      </c>
      <c r="B192" s="30" t="s">
        <v>431</v>
      </c>
      <c r="C192" s="30" t="s">
        <v>17</v>
      </c>
      <c r="D192" s="30" t="str" cm="1">
        <f t="array" ref="D192">UPPER(_xlfn.XLOOKUP(Loockup_ObrasGerencia[[#This Row],[OBRA_PRONTO]],Tabla7[[#All],[Obra]],Tabla7[[#All],[Gerente de obra]],"Sin Obra Asignada",0))</f>
        <v>BARONE ALBERTO</v>
      </c>
      <c r="E192" s="31" t="str">
        <f>Loockup_ObrasGerencia[[#This Row],[OBRA_PRONTO]]&amp;Loockup_ObrasGerencia[[#This Row],[GERENCIA]]</f>
        <v>00000192BARONE ALBERTO</v>
      </c>
      <c r="H192" t="s">
        <v>435</v>
      </c>
      <c r="I192" t="s">
        <v>436</v>
      </c>
      <c r="J192" t="s">
        <v>79</v>
      </c>
      <c r="K192" t="str">
        <f>Tabla7[[#This Row],[Obra]]&amp;Tabla7[[#This Row],[Gerente de obra]]</f>
        <v>00000194Francisco Di Lisio</v>
      </c>
      <c r="L192">
        <f>MATCH(Tabla7[[#This Row],[AUX]],Loockup_ObrasGerencia[[#All],[aux]],0)</f>
        <v>194</v>
      </c>
      <c r="O192" t="str">
        <f>UPPER(GERENCIAS[[#This Row],[Gerente de obra]])</f>
        <v>METZLER JAVIER</v>
      </c>
      <c r="R192" t="s">
        <v>466</v>
      </c>
      <c r="S192" t="s">
        <v>467</v>
      </c>
      <c r="T192" t="s">
        <v>68</v>
      </c>
      <c r="W192" s="8" t="s">
        <v>432</v>
      </c>
      <c r="X192" s="8" t="s">
        <v>431</v>
      </c>
      <c r="Y192" s="8" t="s">
        <v>17</v>
      </c>
      <c r="Z192" t="str">
        <f t="shared" si="2"/>
        <v>00000192SI</v>
      </c>
      <c r="AA192" s="11" t="e">
        <f>MATCH(Tabla9[[#This Row],[AUX]],Loockup_ObrasGerencia[[#All],[aux]],0)</f>
        <v>#N/A</v>
      </c>
    </row>
    <row r="193" spans="1:27" x14ac:dyDescent="0.25">
      <c r="A193" s="30" t="s">
        <v>434</v>
      </c>
      <c r="B193" s="30" t="s">
        <v>433</v>
      </c>
      <c r="C193" s="30" t="s">
        <v>17</v>
      </c>
      <c r="D193" s="30" t="str" cm="1">
        <f t="array" ref="D193">UPPER(_xlfn.XLOOKUP(Loockup_ObrasGerencia[[#This Row],[OBRA_PRONTO]],Tabla7[[#All],[Obra]],Tabla7[[#All],[Gerente de obra]],"Sin Obra Asignada",0))</f>
        <v>BARONE ALBERTO</v>
      </c>
      <c r="E193" s="31" t="str">
        <f>Loockup_ObrasGerencia[[#This Row],[OBRA_PRONTO]]&amp;Loockup_ObrasGerencia[[#This Row],[GERENCIA]]</f>
        <v>00000193BARONE ALBERTO</v>
      </c>
      <c r="H193" t="s">
        <v>437</v>
      </c>
      <c r="I193" t="s">
        <v>438</v>
      </c>
      <c r="J193" t="s">
        <v>18</v>
      </c>
      <c r="K193" t="str">
        <f>Tabla7[[#This Row],[Obra]]&amp;Tabla7[[#This Row],[Gerente de obra]]</f>
        <v>00000195Ortiz Juan Manuel</v>
      </c>
      <c r="L193">
        <f>MATCH(Tabla7[[#This Row],[AUX]],Loockup_ObrasGerencia[[#All],[aux]],0)</f>
        <v>195</v>
      </c>
      <c r="O193" t="str">
        <f>UPPER(GERENCIAS[[#This Row],[Gerente de obra]])</f>
        <v>CATRIEL GISELA</v>
      </c>
      <c r="R193" t="s">
        <v>468</v>
      </c>
      <c r="S193" t="s">
        <v>469</v>
      </c>
      <c r="T193" t="s">
        <v>243</v>
      </c>
      <c r="W193" s="8" t="s">
        <v>434</v>
      </c>
      <c r="X193" s="8" t="s">
        <v>433</v>
      </c>
      <c r="Y193" s="8" t="s">
        <v>17</v>
      </c>
      <c r="Z193" t="str">
        <f t="shared" si="2"/>
        <v>00000193SI</v>
      </c>
      <c r="AA193" s="11" t="e">
        <f>MATCH(Tabla9[[#This Row],[AUX]],Loockup_ObrasGerencia[[#All],[aux]],0)</f>
        <v>#N/A</v>
      </c>
    </row>
    <row r="194" spans="1:27" x14ac:dyDescent="0.25">
      <c r="A194" s="30" t="s">
        <v>436</v>
      </c>
      <c r="B194" s="30" t="s">
        <v>435</v>
      </c>
      <c r="C194" s="30" t="s">
        <v>267</v>
      </c>
      <c r="D194" s="30" t="str" cm="1">
        <f t="array" ref="D194">UPPER(_xlfn.XLOOKUP(Loockup_ObrasGerencia[[#This Row],[OBRA_PRONTO]],Tabla7[[#All],[Obra]],Tabla7[[#All],[Gerente de obra]],"Sin Obra Asignada",0))</f>
        <v>FRANCISCO DI LISIO</v>
      </c>
      <c r="E194" s="31" t="str">
        <f>Loockup_ObrasGerencia[[#This Row],[OBRA_PRONTO]]&amp;Loockup_ObrasGerencia[[#This Row],[GERENCIA]]</f>
        <v>00000194FRANCISCO DI LISIO</v>
      </c>
      <c r="H194" t="s">
        <v>439</v>
      </c>
      <c r="I194" t="s">
        <v>440</v>
      </c>
      <c r="J194" t="s">
        <v>141</v>
      </c>
      <c r="K194" t="str">
        <f>Tabla7[[#This Row],[Obra]]&amp;Tabla7[[#This Row],[Gerente de obra]]</f>
        <v>00000196Barone Alberto</v>
      </c>
      <c r="L194">
        <f>MATCH(Tabla7[[#This Row],[AUX]],Loockup_ObrasGerencia[[#All],[aux]],0)</f>
        <v>196</v>
      </c>
      <c r="O194" t="str">
        <f>UPPER(GERENCIAS[[#This Row],[Gerente de obra]])</f>
        <v>FANJUL NICOLÁS</v>
      </c>
      <c r="R194" t="s">
        <v>470</v>
      </c>
      <c r="S194" t="s">
        <v>471</v>
      </c>
      <c r="T194" t="s">
        <v>226</v>
      </c>
      <c r="W194" s="8" t="s">
        <v>436</v>
      </c>
      <c r="X194" s="8" t="s">
        <v>435</v>
      </c>
      <c r="Y194" s="8" t="s">
        <v>270</v>
      </c>
      <c r="Z194" t="str">
        <f t="shared" ref="Z194:Z257" si="3">X194&amp;Y194</f>
        <v>00000194ACTIVOS</v>
      </c>
      <c r="AA194" s="11" t="e">
        <f>MATCH(Tabla9[[#This Row],[AUX]],Loockup_ObrasGerencia[[#All],[aux]],0)</f>
        <v>#N/A</v>
      </c>
    </row>
    <row r="195" spans="1:27" x14ac:dyDescent="0.25">
      <c r="A195" s="30" t="s">
        <v>438</v>
      </c>
      <c r="B195" s="30" t="s">
        <v>437</v>
      </c>
      <c r="C195" s="30" t="s">
        <v>17</v>
      </c>
      <c r="D195" s="30" t="str" cm="1">
        <f t="array" ref="D195">UPPER(_xlfn.XLOOKUP(Loockup_ObrasGerencia[[#This Row],[OBRA_PRONTO]],Tabla7[[#All],[Obra]],Tabla7[[#All],[Gerente de obra]],"Sin Obra Asignada",0))</f>
        <v>ORTIZ JUAN MANUEL</v>
      </c>
      <c r="E195" s="31" t="str">
        <f>Loockup_ObrasGerencia[[#This Row],[OBRA_PRONTO]]&amp;Loockup_ObrasGerencia[[#This Row],[GERENCIA]]</f>
        <v>00000195ORTIZ JUAN MANUEL</v>
      </c>
      <c r="H195" t="s">
        <v>441</v>
      </c>
      <c r="I195" t="s">
        <v>442</v>
      </c>
      <c r="J195" t="s">
        <v>79</v>
      </c>
      <c r="K195" t="str">
        <f>Tabla7[[#This Row],[Obra]]&amp;Tabla7[[#This Row],[Gerente de obra]]</f>
        <v>00000197Francisco Di Lisio</v>
      </c>
      <c r="L195">
        <f>MATCH(Tabla7[[#This Row],[AUX]],Loockup_ObrasGerencia[[#All],[aux]],0)</f>
        <v>197</v>
      </c>
      <c r="O195" t="str">
        <f>UPPER(GERENCIAS[[#This Row],[Gerente de obra]])</f>
        <v>BARONE ALBERTO</v>
      </c>
      <c r="R195" t="s">
        <v>472</v>
      </c>
      <c r="S195" t="s">
        <v>473</v>
      </c>
      <c r="T195" t="s">
        <v>132</v>
      </c>
      <c r="W195" s="8" t="s">
        <v>438</v>
      </c>
      <c r="X195" s="8" t="s">
        <v>437</v>
      </c>
      <c r="Y195" s="8" t="s">
        <v>17</v>
      </c>
      <c r="Z195" t="str">
        <f t="shared" si="3"/>
        <v>00000195SI</v>
      </c>
      <c r="AA195" s="11" t="e">
        <f>MATCH(Tabla9[[#This Row],[AUX]],Loockup_ObrasGerencia[[#All],[aux]],0)</f>
        <v>#N/A</v>
      </c>
    </row>
    <row r="196" spans="1:27" x14ac:dyDescent="0.25">
      <c r="A196" s="30" t="s">
        <v>440</v>
      </c>
      <c r="B196" s="30" t="s">
        <v>439</v>
      </c>
      <c r="C196" s="30" t="s">
        <v>17</v>
      </c>
      <c r="D196" s="30" t="str" cm="1">
        <f t="array" ref="D196">UPPER(_xlfn.XLOOKUP(Loockup_ObrasGerencia[[#This Row],[OBRA_PRONTO]],Tabla7[[#All],[Obra]],Tabla7[[#All],[Gerente de obra]],"Sin Obra Asignada",0))</f>
        <v>BARONE ALBERTO</v>
      </c>
      <c r="E196" s="31" t="str">
        <f>Loockup_ObrasGerencia[[#This Row],[OBRA_PRONTO]]&amp;Loockup_ObrasGerencia[[#This Row],[GERENCIA]]</f>
        <v>00000196BARONE ALBERTO</v>
      </c>
      <c r="H196" t="s">
        <v>443</v>
      </c>
      <c r="I196" t="s">
        <v>444</v>
      </c>
      <c r="J196" t="s">
        <v>18</v>
      </c>
      <c r="K196" t="str">
        <f>Tabla7[[#This Row],[Obra]]&amp;Tabla7[[#This Row],[Gerente de obra]]</f>
        <v>00000199Ortiz Juan Manuel</v>
      </c>
      <c r="L196">
        <f>MATCH(Tabla7[[#This Row],[AUX]],Loockup_ObrasGerencia[[#All],[aux]],0)</f>
        <v>199</v>
      </c>
      <c r="O196" t="str">
        <f>UPPER(GERENCIAS[[#This Row],[Gerente de obra]])</f>
        <v>CARDENAS PABLO</v>
      </c>
      <c r="R196" t="s">
        <v>474</v>
      </c>
      <c r="S196" t="s">
        <v>475</v>
      </c>
      <c r="T196" t="s">
        <v>422</v>
      </c>
      <c r="W196" s="8" t="s">
        <v>440</v>
      </c>
      <c r="X196" s="8" t="s">
        <v>439</v>
      </c>
      <c r="Y196" s="8" t="s">
        <v>17</v>
      </c>
      <c r="Z196" t="str">
        <f t="shared" si="3"/>
        <v>00000196SI</v>
      </c>
      <c r="AA196" s="11" t="e">
        <f>MATCH(Tabla9[[#This Row],[AUX]],Loockup_ObrasGerencia[[#All],[aux]],0)</f>
        <v>#N/A</v>
      </c>
    </row>
    <row r="197" spans="1:27" x14ac:dyDescent="0.25">
      <c r="A197" s="30" t="s">
        <v>442</v>
      </c>
      <c r="B197" s="30" t="s">
        <v>441</v>
      </c>
      <c r="C197" s="30" t="s">
        <v>17</v>
      </c>
      <c r="D197" s="30" t="str" cm="1">
        <f t="array" ref="D197">UPPER(_xlfn.XLOOKUP(Loockup_ObrasGerencia[[#This Row],[OBRA_PRONTO]],Tabla7[[#All],[Obra]],Tabla7[[#All],[Gerente de obra]],"Sin Obra Asignada",0))</f>
        <v>FRANCISCO DI LISIO</v>
      </c>
      <c r="E197" s="31" t="str">
        <f>Loockup_ObrasGerencia[[#This Row],[OBRA_PRONTO]]&amp;Loockup_ObrasGerencia[[#This Row],[GERENCIA]]</f>
        <v>00000197FRANCISCO DI LISIO</v>
      </c>
      <c r="H197" t="s">
        <v>445</v>
      </c>
      <c r="I197" t="s">
        <v>446</v>
      </c>
      <c r="J197" t="s">
        <v>240</v>
      </c>
      <c r="K197" t="str">
        <f>Tabla7[[#This Row],[Obra]]&amp;Tabla7[[#This Row],[Gerente de obra]]</f>
        <v>00000200Fanjul Nicolás</v>
      </c>
      <c r="L197">
        <f>MATCH(Tabla7[[#This Row],[AUX]],Loockup_ObrasGerencia[[#All],[aux]],0)</f>
        <v>200</v>
      </c>
      <c r="O197" t="str">
        <f>UPPER(GERENCIAS[[#This Row],[Gerente de obra]])</f>
        <v>CATRIEL GISELA</v>
      </c>
      <c r="R197" t="s">
        <v>476</v>
      </c>
      <c r="S197" t="s">
        <v>477</v>
      </c>
      <c r="T197" t="s">
        <v>243</v>
      </c>
      <c r="W197" s="8" t="s">
        <v>442</v>
      </c>
      <c r="X197" s="8" t="s">
        <v>441</v>
      </c>
      <c r="Y197" s="8" t="s">
        <v>17</v>
      </c>
      <c r="Z197" t="str">
        <f t="shared" si="3"/>
        <v>00000197SI</v>
      </c>
      <c r="AA197" s="11" t="e">
        <f>MATCH(Tabla9[[#This Row],[AUX]],Loockup_ObrasGerencia[[#All],[aux]],0)</f>
        <v>#N/A</v>
      </c>
    </row>
    <row r="198" spans="1:27" x14ac:dyDescent="0.25">
      <c r="A198" s="30" t="s">
        <v>478</v>
      </c>
      <c r="B198" s="30" t="s">
        <v>479</v>
      </c>
      <c r="C198" s="30" t="s">
        <v>64</v>
      </c>
      <c r="D198" s="30" t="str" cm="1">
        <f t="array" ref="D198">UPPER(_xlfn.XLOOKUP(Loockup_ObrasGerencia[[#This Row],[OBRA_PRONTO]],Tabla7[[#All],[Obra]],Tabla7[[#All],[Gerente de obra]],"Sin Obra Asignada",0))</f>
        <v>SIN OBRA ASIGNADA</v>
      </c>
      <c r="E198" s="31" t="str">
        <f>Loockup_ObrasGerencia[[#This Row],[OBRA_PRONTO]]&amp;Loockup_ObrasGerencia[[#This Row],[GERENCIA]]</f>
        <v>00000198SIN OBRA ASIGNADA</v>
      </c>
      <c r="H198" t="s">
        <v>447</v>
      </c>
      <c r="I198" t="s">
        <v>448</v>
      </c>
      <c r="J198" t="s">
        <v>240</v>
      </c>
      <c r="K198" t="str">
        <f>Tabla7[[#This Row],[Obra]]&amp;Tabla7[[#This Row],[Gerente de obra]]</f>
        <v>00000201Fanjul Nicolás</v>
      </c>
      <c r="L198">
        <f>MATCH(Tabla7[[#This Row],[AUX]],Loockup_ObrasGerencia[[#All],[aux]],0)</f>
        <v>201</v>
      </c>
      <c r="O198" t="str">
        <f>UPPER(GERENCIAS[[#This Row],[Gerente de obra]])</f>
        <v>DIEGO IBAÑEZ</v>
      </c>
      <c r="R198" t="s">
        <v>480</v>
      </c>
      <c r="S198" t="s">
        <v>481</v>
      </c>
      <c r="T198" t="s">
        <v>30</v>
      </c>
      <c r="W198" s="8" t="s">
        <v>478</v>
      </c>
      <c r="X198" s="8" t="s">
        <v>479</v>
      </c>
      <c r="Y198" s="8" t="s">
        <v>64</v>
      </c>
      <c r="Z198" t="str">
        <f t="shared" si="3"/>
        <v>00000198ADMINISTRACION</v>
      </c>
      <c r="AA198" s="11" t="e">
        <f>MATCH(Tabla9[[#This Row],[AUX]],Loockup_ObrasGerencia[[#All],[aux]],0)</f>
        <v>#N/A</v>
      </c>
    </row>
    <row r="199" spans="1:27" x14ac:dyDescent="0.25">
      <c r="A199" s="30" t="s">
        <v>444</v>
      </c>
      <c r="B199" s="30" t="s">
        <v>443</v>
      </c>
      <c r="C199" s="30" t="s">
        <v>17</v>
      </c>
      <c r="D199" s="30" t="str" cm="1">
        <f t="array" ref="D199">UPPER(_xlfn.XLOOKUP(Loockup_ObrasGerencia[[#This Row],[OBRA_PRONTO]],Tabla7[[#All],[Obra]],Tabla7[[#All],[Gerente de obra]],"Sin Obra Asignada",0))</f>
        <v>ORTIZ JUAN MANUEL</v>
      </c>
      <c r="E199" s="31" t="str">
        <f>Loockup_ObrasGerencia[[#This Row],[OBRA_PRONTO]]&amp;Loockup_ObrasGerencia[[#This Row],[GERENCIA]]</f>
        <v>00000199ORTIZ JUAN MANUEL</v>
      </c>
      <c r="H199" t="s">
        <v>449</v>
      </c>
      <c r="I199" t="s">
        <v>450</v>
      </c>
      <c r="J199" t="s">
        <v>240</v>
      </c>
      <c r="K199" t="str">
        <f>Tabla7[[#This Row],[Obra]]&amp;Tabla7[[#This Row],[Gerente de obra]]</f>
        <v>00000202Fanjul Nicolás</v>
      </c>
      <c r="L199">
        <f>MATCH(Tabla7[[#This Row],[AUX]],Loockup_ObrasGerencia[[#All],[aux]],0)</f>
        <v>202</v>
      </c>
      <c r="O199" t="str">
        <f>UPPER(GERENCIAS[[#This Row],[Gerente de obra]])</f>
        <v>DIEGO IBAÑEZ</v>
      </c>
      <c r="R199" t="s">
        <v>482</v>
      </c>
      <c r="S199" t="s">
        <v>483</v>
      </c>
      <c r="T199" t="s">
        <v>30</v>
      </c>
      <c r="W199" s="8" t="s">
        <v>444</v>
      </c>
      <c r="X199" s="8" t="s">
        <v>443</v>
      </c>
      <c r="Y199" s="8" t="s">
        <v>17</v>
      </c>
      <c r="Z199" t="str">
        <f t="shared" si="3"/>
        <v>00000199SI</v>
      </c>
      <c r="AA199" s="11" t="e">
        <f>MATCH(Tabla9[[#This Row],[AUX]],Loockup_ObrasGerencia[[#All],[aux]],0)</f>
        <v>#N/A</v>
      </c>
    </row>
    <row r="200" spans="1:27" x14ac:dyDescent="0.25">
      <c r="A200" s="30" t="s">
        <v>446</v>
      </c>
      <c r="B200" s="30" t="s">
        <v>445</v>
      </c>
      <c r="C200" s="30" t="s">
        <v>246</v>
      </c>
      <c r="D200" s="30" t="str" cm="1">
        <f t="array" ref="D200">UPPER(_xlfn.XLOOKUP(Loockup_ObrasGerencia[[#This Row],[OBRA_PRONTO]],Tabla7[[#All],[Obra]],Tabla7[[#All],[Gerente de obra]],"Sin Obra Asignada",0))</f>
        <v>FANJUL NICOLÁS</v>
      </c>
      <c r="E200" s="31" t="str">
        <f>Loockup_ObrasGerencia[[#This Row],[OBRA_PRONTO]]&amp;Loockup_ObrasGerencia[[#This Row],[GERENCIA]]</f>
        <v>00000200FANJUL NICOLÁS</v>
      </c>
      <c r="H200" t="s">
        <v>452</v>
      </c>
      <c r="I200" t="s">
        <v>453</v>
      </c>
      <c r="J200" t="s">
        <v>79</v>
      </c>
      <c r="K200" t="str">
        <f>Tabla7[[#This Row],[Obra]]&amp;Tabla7[[#This Row],[Gerente de obra]]</f>
        <v>00000203Francisco Di Lisio</v>
      </c>
      <c r="L200">
        <f>MATCH(Tabla7[[#This Row],[AUX]],Loockup_ObrasGerencia[[#All],[aux]],0)</f>
        <v>203</v>
      </c>
      <c r="O200" t="str">
        <f>UPPER(GERENCIAS[[#This Row],[Gerente de obra]])</f>
        <v>DIEGO IBAÑEZ</v>
      </c>
      <c r="R200" t="s">
        <v>484</v>
      </c>
      <c r="S200" t="s">
        <v>485</v>
      </c>
      <c r="T200" t="s">
        <v>30</v>
      </c>
      <c r="W200" s="8" t="s">
        <v>446</v>
      </c>
      <c r="X200" s="8" t="s">
        <v>445</v>
      </c>
      <c r="Y200" s="8" t="s">
        <v>246</v>
      </c>
      <c r="Z200" t="str">
        <f t="shared" si="3"/>
        <v>00000200COMPENSABLE SYGSA</v>
      </c>
      <c r="AA200" s="11" t="e">
        <f>MATCH(Tabla9[[#This Row],[AUX]],Loockup_ObrasGerencia[[#All],[aux]],0)</f>
        <v>#N/A</v>
      </c>
    </row>
    <row r="201" spans="1:27" x14ac:dyDescent="0.25">
      <c r="A201" s="30" t="s">
        <v>448</v>
      </c>
      <c r="B201" s="30" t="s">
        <v>447</v>
      </c>
      <c r="C201" s="30" t="s">
        <v>246</v>
      </c>
      <c r="D201" s="30" t="str" cm="1">
        <f t="array" ref="D201">UPPER(_xlfn.XLOOKUP(Loockup_ObrasGerencia[[#This Row],[OBRA_PRONTO]],Tabla7[[#All],[Obra]],Tabla7[[#All],[Gerente de obra]],"Sin Obra Asignada",0))</f>
        <v>FANJUL NICOLÁS</v>
      </c>
      <c r="E201" s="31" t="str">
        <f>Loockup_ObrasGerencia[[#This Row],[OBRA_PRONTO]]&amp;Loockup_ObrasGerencia[[#This Row],[GERENCIA]]</f>
        <v>00000201FANJUL NICOLÁS</v>
      </c>
      <c r="H201" t="s">
        <v>454</v>
      </c>
      <c r="I201" t="s">
        <v>455</v>
      </c>
      <c r="J201" t="s">
        <v>79</v>
      </c>
      <c r="K201" t="str">
        <f>Tabla7[[#This Row],[Obra]]&amp;Tabla7[[#This Row],[Gerente de obra]]</f>
        <v>00000204Francisco Di Lisio</v>
      </c>
      <c r="L201">
        <f>MATCH(Tabla7[[#This Row],[AUX]],Loockup_ObrasGerencia[[#All],[aux]],0)</f>
        <v>204</v>
      </c>
      <c r="O201" t="str">
        <f>UPPER(GERENCIAS[[#This Row],[Gerente de obra]])</f>
        <v>CARDENAS PABLO</v>
      </c>
      <c r="R201" t="s">
        <v>486</v>
      </c>
      <c r="S201" t="s">
        <v>487</v>
      </c>
      <c r="T201" t="s">
        <v>422</v>
      </c>
      <c r="W201" s="8" t="s">
        <v>448</v>
      </c>
      <c r="X201" s="8" t="s">
        <v>447</v>
      </c>
      <c r="Y201" s="8" t="s">
        <v>246</v>
      </c>
      <c r="Z201" t="str">
        <f t="shared" si="3"/>
        <v>00000201COMPENSABLE SYGSA</v>
      </c>
      <c r="AA201" s="11" t="e">
        <f>MATCH(Tabla9[[#This Row],[AUX]],Loockup_ObrasGerencia[[#All],[aux]],0)</f>
        <v>#N/A</v>
      </c>
    </row>
    <row r="202" spans="1:27" x14ac:dyDescent="0.25">
      <c r="A202" s="30" t="s">
        <v>450</v>
      </c>
      <c r="B202" s="30" t="s">
        <v>449</v>
      </c>
      <c r="C202" s="30" t="s">
        <v>246</v>
      </c>
      <c r="D202" s="30" t="str" cm="1">
        <f t="array" ref="D202">UPPER(_xlfn.XLOOKUP(Loockup_ObrasGerencia[[#This Row],[OBRA_PRONTO]],Tabla7[[#All],[Obra]],Tabla7[[#All],[Gerente de obra]],"Sin Obra Asignada",0))</f>
        <v>FANJUL NICOLÁS</v>
      </c>
      <c r="E202" s="31" t="str">
        <f>Loockup_ObrasGerencia[[#This Row],[OBRA_PRONTO]]&amp;Loockup_ObrasGerencia[[#This Row],[GERENCIA]]</f>
        <v>00000202FANJUL NICOLÁS</v>
      </c>
      <c r="H202" t="s">
        <v>456</v>
      </c>
      <c r="I202" t="s">
        <v>457</v>
      </c>
      <c r="J202" t="s">
        <v>141</v>
      </c>
      <c r="K202" t="str">
        <f>Tabla7[[#This Row],[Obra]]&amp;Tabla7[[#This Row],[Gerente de obra]]</f>
        <v>00000205Barone Alberto</v>
      </c>
      <c r="L202">
        <f>MATCH(Tabla7[[#This Row],[AUX]],Loockup_ObrasGerencia[[#All],[aux]],0)</f>
        <v>205</v>
      </c>
      <c r="O202" t="str">
        <f>UPPER(GERENCIAS[[#This Row],[Gerente de obra]])</f>
        <v>GONZALO SILVA</v>
      </c>
      <c r="R202" t="s">
        <v>488</v>
      </c>
      <c r="S202" t="s">
        <v>489</v>
      </c>
      <c r="T202" t="s">
        <v>368</v>
      </c>
      <c r="W202" s="8" t="s">
        <v>450</v>
      </c>
      <c r="X202" s="8" t="s">
        <v>449</v>
      </c>
      <c r="Y202" s="8" t="s">
        <v>246</v>
      </c>
      <c r="Z202" t="str">
        <f t="shared" si="3"/>
        <v>00000202COMPENSABLE SYGSA</v>
      </c>
      <c r="AA202" s="11" t="e">
        <f>MATCH(Tabla9[[#This Row],[AUX]],Loockup_ObrasGerencia[[#All],[aux]],0)</f>
        <v>#N/A</v>
      </c>
    </row>
    <row r="203" spans="1:27" x14ac:dyDescent="0.25">
      <c r="A203" s="30" t="s">
        <v>453</v>
      </c>
      <c r="B203" s="30" t="s">
        <v>452</v>
      </c>
      <c r="C203" s="30" t="s">
        <v>239</v>
      </c>
      <c r="D203" s="30" t="str" cm="1">
        <f t="array" ref="D203">UPPER(_xlfn.XLOOKUP(Loockup_ObrasGerencia[[#This Row],[OBRA_PRONTO]],Tabla7[[#All],[Obra]],Tabla7[[#All],[Gerente de obra]],"Sin Obra Asignada",0))</f>
        <v>FRANCISCO DI LISIO</v>
      </c>
      <c r="E203" s="31" t="str">
        <f>Loockup_ObrasGerencia[[#This Row],[OBRA_PRONTO]]&amp;Loockup_ObrasGerencia[[#This Row],[GERENCIA]]</f>
        <v>00000203FRANCISCO DI LISIO</v>
      </c>
      <c r="H203" t="s">
        <v>458</v>
      </c>
      <c r="I203" t="s">
        <v>459</v>
      </c>
      <c r="J203" t="s">
        <v>271</v>
      </c>
      <c r="K203" t="str">
        <f>Tabla7[[#This Row],[Obra]]&amp;Tabla7[[#This Row],[Gerente de obra]]</f>
        <v>00000206Catriel Gisela</v>
      </c>
      <c r="L203">
        <f>MATCH(Tabla7[[#This Row],[AUX]],Loockup_ObrasGerencia[[#All],[aux]],0)</f>
        <v>206</v>
      </c>
      <c r="O203" t="str">
        <f>UPPER(GERENCIAS[[#This Row],[Gerente de obra]])</f>
        <v>GONZALO SILVA</v>
      </c>
      <c r="R203" t="s">
        <v>490</v>
      </c>
      <c r="S203" t="s">
        <v>491</v>
      </c>
      <c r="T203" t="s">
        <v>368</v>
      </c>
      <c r="W203" s="8" t="s">
        <v>453</v>
      </c>
      <c r="X203" s="8" t="s">
        <v>452</v>
      </c>
      <c r="Y203" s="8" t="s">
        <v>239</v>
      </c>
      <c r="Z203" t="str">
        <f t="shared" si="3"/>
        <v>00000203COMPENSABLE CAC</v>
      </c>
      <c r="AA203" s="11" t="e">
        <f>MATCH(Tabla9[[#This Row],[AUX]],Loockup_ObrasGerencia[[#All],[aux]],0)</f>
        <v>#N/A</v>
      </c>
    </row>
    <row r="204" spans="1:27" x14ac:dyDescent="0.25">
      <c r="A204" s="30" t="s">
        <v>455</v>
      </c>
      <c r="B204" s="30" t="s">
        <v>454</v>
      </c>
      <c r="C204" s="30" t="s">
        <v>267</v>
      </c>
      <c r="D204" s="30" t="str" cm="1">
        <f t="array" ref="D204">UPPER(_xlfn.XLOOKUP(Loockup_ObrasGerencia[[#This Row],[OBRA_PRONTO]],Tabla7[[#All],[Obra]],Tabla7[[#All],[Gerente de obra]],"Sin Obra Asignada",0))</f>
        <v>FRANCISCO DI LISIO</v>
      </c>
      <c r="E204" s="31" t="str">
        <f>Loockup_ObrasGerencia[[#This Row],[OBRA_PRONTO]]&amp;Loockup_ObrasGerencia[[#This Row],[GERENCIA]]</f>
        <v>00000204FRANCISCO DI LISIO</v>
      </c>
      <c r="H204" t="s">
        <v>460</v>
      </c>
      <c r="I204" t="s">
        <v>461</v>
      </c>
      <c r="J204" t="s">
        <v>271</v>
      </c>
      <c r="K204" t="str">
        <f>Tabla7[[#This Row],[Obra]]&amp;Tabla7[[#This Row],[Gerente de obra]]</f>
        <v>00000207Catriel Gisela</v>
      </c>
      <c r="L204">
        <f>MATCH(Tabla7[[#This Row],[AUX]],Loockup_ObrasGerencia[[#All],[aux]],0)</f>
        <v>207</v>
      </c>
      <c r="O204" t="str">
        <f>UPPER(GERENCIAS[[#This Row],[Gerente de obra]])</f>
        <v>CATRIEL GISELA</v>
      </c>
      <c r="R204" t="s">
        <v>492</v>
      </c>
      <c r="S204" t="s">
        <v>493</v>
      </c>
      <c r="T204" t="s">
        <v>243</v>
      </c>
      <c r="W204" s="8" t="s">
        <v>455</v>
      </c>
      <c r="X204" s="8" t="s">
        <v>454</v>
      </c>
      <c r="Y204" s="8" t="s">
        <v>270</v>
      </c>
      <c r="Z204" t="str">
        <f t="shared" si="3"/>
        <v>00000204ACTIVOS</v>
      </c>
      <c r="AA204" s="11" t="e">
        <f>MATCH(Tabla9[[#This Row],[AUX]],Loockup_ObrasGerencia[[#All],[aux]],0)</f>
        <v>#N/A</v>
      </c>
    </row>
    <row r="205" spans="1:27" x14ac:dyDescent="0.25">
      <c r="A205" s="30" t="s">
        <v>457</v>
      </c>
      <c r="B205" s="30" t="s">
        <v>456</v>
      </c>
      <c r="C205" s="30" t="s">
        <v>17</v>
      </c>
      <c r="D205" s="30" t="str" cm="1">
        <f t="array" ref="D205">UPPER(_xlfn.XLOOKUP(Loockup_ObrasGerencia[[#This Row],[OBRA_PRONTO]],Tabla7[[#All],[Obra]],Tabla7[[#All],[Gerente de obra]],"Sin Obra Asignada",0))</f>
        <v>BARONE ALBERTO</v>
      </c>
      <c r="E205" s="31" t="str">
        <f>Loockup_ObrasGerencia[[#This Row],[OBRA_PRONTO]]&amp;Loockup_ObrasGerencia[[#This Row],[GERENCIA]]</f>
        <v>00000205BARONE ALBERTO</v>
      </c>
      <c r="H205" t="s">
        <v>462</v>
      </c>
      <c r="I205" t="s">
        <v>463</v>
      </c>
      <c r="J205" t="s">
        <v>271</v>
      </c>
      <c r="K205" t="str">
        <f>Tabla7[[#This Row],[Obra]]&amp;Tabla7[[#This Row],[Gerente de obra]]</f>
        <v>00000208Catriel Gisela</v>
      </c>
      <c r="L205">
        <f>MATCH(Tabla7[[#This Row],[AUX]],Loockup_ObrasGerencia[[#All],[aux]],0)</f>
        <v>208</v>
      </c>
      <c r="O205" t="str">
        <f>UPPER(GERENCIAS[[#This Row],[Gerente de obra]])</f>
        <v>ORTIZ JUAN MANUEL</v>
      </c>
      <c r="R205" t="s">
        <v>494</v>
      </c>
      <c r="S205" t="s">
        <v>495</v>
      </c>
      <c r="T205" t="s">
        <v>19</v>
      </c>
      <c r="W205" s="8" t="s">
        <v>457</v>
      </c>
      <c r="X205" s="8" t="s">
        <v>456</v>
      </c>
      <c r="Y205" s="8" t="s">
        <v>17</v>
      </c>
      <c r="Z205" t="str">
        <f t="shared" si="3"/>
        <v>00000205SI</v>
      </c>
      <c r="AA205" s="11" t="e">
        <f>MATCH(Tabla9[[#This Row],[AUX]],Loockup_ObrasGerencia[[#All],[aux]],0)</f>
        <v>#N/A</v>
      </c>
    </row>
    <row r="206" spans="1:27" x14ac:dyDescent="0.25">
      <c r="A206" s="30" t="s">
        <v>459</v>
      </c>
      <c r="B206" s="30" t="s">
        <v>458</v>
      </c>
      <c r="C206" s="30" t="s">
        <v>17</v>
      </c>
      <c r="D206" s="30" t="str" cm="1">
        <f t="array" ref="D206">UPPER(_xlfn.XLOOKUP(Loockup_ObrasGerencia[[#This Row],[OBRA_PRONTO]],Tabla7[[#All],[Obra]],Tabla7[[#All],[Gerente de obra]],"Sin Obra Asignada",0))</f>
        <v>CATRIEL GISELA</v>
      </c>
      <c r="E206" s="31" t="str">
        <f>Loockup_ObrasGerencia[[#This Row],[OBRA_PRONTO]]&amp;Loockup_ObrasGerencia[[#This Row],[GERENCIA]]</f>
        <v>00000206CATRIEL GISELA</v>
      </c>
      <c r="H206" t="s">
        <v>464</v>
      </c>
      <c r="I206" t="s">
        <v>465</v>
      </c>
      <c r="J206" t="s">
        <v>141</v>
      </c>
      <c r="K206" t="str">
        <f>Tabla7[[#This Row],[Obra]]&amp;Tabla7[[#This Row],[Gerente de obra]]</f>
        <v>00000209Barone Alberto</v>
      </c>
      <c r="L206">
        <f>MATCH(Tabla7[[#This Row],[AUX]],Loockup_ObrasGerencia[[#All],[aux]],0)</f>
        <v>209</v>
      </c>
      <c r="O206" t="str">
        <f>UPPER(GERENCIAS[[#This Row],[Gerente de obra]])</f>
        <v>TRUJILLO</v>
      </c>
      <c r="R206" t="s">
        <v>496</v>
      </c>
      <c r="S206" t="s">
        <v>497</v>
      </c>
      <c r="T206" t="s">
        <v>25</v>
      </c>
      <c r="W206" s="8" t="s">
        <v>459</v>
      </c>
      <c r="X206" s="8" t="s">
        <v>458</v>
      </c>
      <c r="Y206" s="8" t="s">
        <v>17</v>
      </c>
      <c r="Z206" t="str">
        <f t="shared" si="3"/>
        <v>00000206SI</v>
      </c>
      <c r="AA206" s="11" t="e">
        <f>MATCH(Tabla9[[#This Row],[AUX]],Loockup_ObrasGerencia[[#All],[aux]],0)</f>
        <v>#N/A</v>
      </c>
    </row>
    <row r="207" spans="1:27" x14ac:dyDescent="0.25">
      <c r="A207" s="30" t="s">
        <v>461</v>
      </c>
      <c r="B207" s="30" t="s">
        <v>460</v>
      </c>
      <c r="C207" s="30" t="s">
        <v>17</v>
      </c>
      <c r="D207" s="30" t="str" cm="1">
        <f t="array" ref="D207">UPPER(_xlfn.XLOOKUP(Loockup_ObrasGerencia[[#This Row],[OBRA_PRONTO]],Tabla7[[#All],[Obra]],Tabla7[[#All],[Gerente de obra]],"Sin Obra Asignada",0))</f>
        <v>CATRIEL GISELA</v>
      </c>
      <c r="E207" s="31" t="str">
        <f>Loockup_ObrasGerencia[[#This Row],[OBRA_PRONTO]]&amp;Loockup_ObrasGerencia[[#This Row],[GERENCIA]]</f>
        <v>00000207CATRIEL GISELA</v>
      </c>
      <c r="H207" t="s">
        <v>466</v>
      </c>
      <c r="I207" t="s">
        <v>467</v>
      </c>
      <c r="J207" t="s">
        <v>69</v>
      </c>
      <c r="K207" t="str">
        <f>Tabla7[[#This Row],[Obra]]&amp;Tabla7[[#This Row],[Gerente de obra]]</f>
        <v>00000210Metzler Javier</v>
      </c>
      <c r="L207">
        <f>MATCH(Tabla7[[#This Row],[AUX]],Loockup_ObrasGerencia[[#All],[aux]],0)</f>
        <v>210</v>
      </c>
      <c r="O207" t="str">
        <f>UPPER(GERENCIAS[[#This Row],[Gerente de obra]])</f>
        <v>CARDENAS PABLO</v>
      </c>
      <c r="R207" t="s">
        <v>498</v>
      </c>
      <c r="S207" t="s">
        <v>499</v>
      </c>
      <c r="T207" t="s">
        <v>422</v>
      </c>
      <c r="W207" s="8" t="s">
        <v>461</v>
      </c>
      <c r="X207" s="8" t="s">
        <v>460</v>
      </c>
      <c r="Y207" s="8" t="s">
        <v>17</v>
      </c>
      <c r="Z207" t="str">
        <f t="shared" si="3"/>
        <v>00000207SI</v>
      </c>
      <c r="AA207" s="11" t="e">
        <f>MATCH(Tabla9[[#This Row],[AUX]],Loockup_ObrasGerencia[[#All],[aux]],0)</f>
        <v>#N/A</v>
      </c>
    </row>
    <row r="208" spans="1:27" x14ac:dyDescent="0.25">
      <c r="A208" s="30" t="s">
        <v>463</v>
      </c>
      <c r="B208" s="30" t="s">
        <v>462</v>
      </c>
      <c r="C208" s="30" t="s">
        <v>17</v>
      </c>
      <c r="D208" s="30" t="str" cm="1">
        <f t="array" ref="D208">UPPER(_xlfn.XLOOKUP(Loockup_ObrasGerencia[[#This Row],[OBRA_PRONTO]],Tabla7[[#All],[Obra]],Tabla7[[#All],[Gerente de obra]],"Sin Obra Asignada",0))</f>
        <v>CATRIEL GISELA</v>
      </c>
      <c r="E208" s="31" t="str">
        <f>Loockup_ObrasGerencia[[#This Row],[OBRA_PRONTO]]&amp;Loockup_ObrasGerencia[[#This Row],[GERENCIA]]</f>
        <v>00000208CATRIEL GISELA</v>
      </c>
      <c r="H208" t="s">
        <v>468</v>
      </c>
      <c r="I208" t="s">
        <v>469</v>
      </c>
      <c r="J208" t="s">
        <v>271</v>
      </c>
      <c r="K208" t="str">
        <f>Tabla7[[#This Row],[Obra]]&amp;Tabla7[[#This Row],[Gerente de obra]]</f>
        <v>00000211Catriel Gisela</v>
      </c>
      <c r="L208">
        <f>MATCH(Tabla7[[#This Row],[AUX]],Loockup_ObrasGerencia[[#All],[aux]],0)</f>
        <v>211</v>
      </c>
      <c r="O208" t="str">
        <f>UPPER(GERENCIAS[[#This Row],[Gerente de obra]])</f>
        <v>FRANCISCO DI LISIO</v>
      </c>
      <c r="R208" t="s">
        <v>500</v>
      </c>
      <c r="S208" t="s">
        <v>501</v>
      </c>
      <c r="T208" t="s">
        <v>78</v>
      </c>
      <c r="W208" s="8" t="s">
        <v>463</v>
      </c>
      <c r="X208" s="8" t="s">
        <v>462</v>
      </c>
      <c r="Y208" s="8" t="s">
        <v>17</v>
      </c>
      <c r="Z208" t="str">
        <f t="shared" si="3"/>
        <v>00000208SI</v>
      </c>
      <c r="AA208" s="11" t="e">
        <f>MATCH(Tabla9[[#This Row],[AUX]],Loockup_ObrasGerencia[[#All],[aux]],0)</f>
        <v>#N/A</v>
      </c>
    </row>
    <row r="209" spans="1:27" x14ac:dyDescent="0.25">
      <c r="A209" s="30" t="s">
        <v>465</v>
      </c>
      <c r="B209" s="30" t="s">
        <v>464</v>
      </c>
      <c r="C209" s="30" t="s">
        <v>17</v>
      </c>
      <c r="D209" s="30" t="str" cm="1">
        <f t="array" ref="D209">UPPER(_xlfn.XLOOKUP(Loockup_ObrasGerencia[[#This Row],[OBRA_PRONTO]],Tabla7[[#All],[Obra]],Tabla7[[#All],[Gerente de obra]],"Sin Obra Asignada",0))</f>
        <v>BARONE ALBERTO</v>
      </c>
      <c r="E209" s="31" t="str">
        <f>Loockup_ObrasGerencia[[#This Row],[OBRA_PRONTO]]&amp;Loockup_ObrasGerencia[[#This Row],[GERENCIA]]</f>
        <v>00000209BARONE ALBERTO</v>
      </c>
      <c r="H209" t="s">
        <v>470</v>
      </c>
      <c r="I209" t="s">
        <v>471</v>
      </c>
      <c r="J209" t="s">
        <v>240</v>
      </c>
      <c r="K209" t="str">
        <f>Tabla7[[#This Row],[Obra]]&amp;Tabla7[[#This Row],[Gerente de obra]]</f>
        <v>00000212Fanjul Nicolás</v>
      </c>
      <c r="L209">
        <f>MATCH(Tabla7[[#This Row],[AUX]],Loockup_ObrasGerencia[[#All],[aux]],0)</f>
        <v>212</v>
      </c>
      <c r="O209" t="str">
        <f>UPPER(GERENCIAS[[#This Row],[Gerente de obra]])</f>
        <v>CARDENAS PABLO</v>
      </c>
      <c r="R209" t="s">
        <v>502</v>
      </c>
      <c r="S209" t="s">
        <v>503</v>
      </c>
      <c r="T209" t="s">
        <v>422</v>
      </c>
      <c r="W209" s="8" t="s">
        <v>465</v>
      </c>
      <c r="X209" s="8" t="s">
        <v>464</v>
      </c>
      <c r="Y209" s="8" t="s">
        <v>17</v>
      </c>
      <c r="Z209" t="str">
        <f t="shared" si="3"/>
        <v>00000209SI</v>
      </c>
      <c r="AA209" s="11" t="e">
        <f>MATCH(Tabla9[[#This Row],[AUX]],Loockup_ObrasGerencia[[#All],[aux]],0)</f>
        <v>#N/A</v>
      </c>
    </row>
    <row r="210" spans="1:27" x14ac:dyDescent="0.25">
      <c r="A210" s="30" t="s">
        <v>467</v>
      </c>
      <c r="B210" s="30" t="s">
        <v>466</v>
      </c>
      <c r="C210" s="30" t="s">
        <v>17</v>
      </c>
      <c r="D210" s="30" t="str" cm="1">
        <f t="array" ref="D210">UPPER(_xlfn.XLOOKUP(Loockup_ObrasGerencia[[#This Row],[OBRA_PRONTO]],Tabla7[[#All],[Obra]],Tabla7[[#All],[Gerente de obra]],"Sin Obra Asignada",0))</f>
        <v>METZLER JAVIER</v>
      </c>
      <c r="E210" s="31" t="str">
        <f>Loockup_ObrasGerencia[[#This Row],[OBRA_PRONTO]]&amp;Loockup_ObrasGerencia[[#This Row],[GERENCIA]]</f>
        <v>00000210METZLER JAVIER</v>
      </c>
      <c r="H210" t="s">
        <v>472</v>
      </c>
      <c r="I210" t="s">
        <v>473</v>
      </c>
      <c r="J210" t="s">
        <v>141</v>
      </c>
      <c r="K210" t="str">
        <f>Tabla7[[#This Row],[Obra]]&amp;Tabla7[[#This Row],[Gerente de obra]]</f>
        <v>00000213Barone Alberto</v>
      </c>
      <c r="L210">
        <f>MATCH(Tabla7[[#This Row],[AUX]],Loockup_ObrasGerencia[[#All],[aux]],0)</f>
        <v>213</v>
      </c>
      <c r="O210" t="str">
        <f>UPPER(GERENCIAS[[#This Row],[Gerente de obra]])</f>
        <v>BARONE ALBERTO</v>
      </c>
      <c r="R210" t="s">
        <v>504</v>
      </c>
      <c r="S210" t="s">
        <v>505</v>
      </c>
      <c r="T210" t="s">
        <v>132</v>
      </c>
      <c r="W210" s="8" t="s">
        <v>467</v>
      </c>
      <c r="X210" s="8" t="s">
        <v>466</v>
      </c>
      <c r="Y210" s="8" t="s">
        <v>17</v>
      </c>
      <c r="Z210" t="str">
        <f t="shared" si="3"/>
        <v>00000210SI</v>
      </c>
      <c r="AA210" s="11" t="e">
        <f>MATCH(Tabla9[[#This Row],[AUX]],Loockup_ObrasGerencia[[#All],[aux]],0)</f>
        <v>#N/A</v>
      </c>
    </row>
    <row r="211" spans="1:27" x14ac:dyDescent="0.25">
      <c r="A211" s="30" t="s">
        <v>469</v>
      </c>
      <c r="B211" s="30" t="s">
        <v>468</v>
      </c>
      <c r="C211" s="30" t="s">
        <v>17</v>
      </c>
      <c r="D211" s="30" t="str" cm="1">
        <f t="array" ref="D211">UPPER(_xlfn.XLOOKUP(Loockup_ObrasGerencia[[#This Row],[OBRA_PRONTO]],Tabla7[[#All],[Obra]],Tabla7[[#All],[Gerente de obra]],"Sin Obra Asignada",0))</f>
        <v>CATRIEL GISELA</v>
      </c>
      <c r="E211" s="31" t="str">
        <f>Loockup_ObrasGerencia[[#This Row],[OBRA_PRONTO]]&amp;Loockup_ObrasGerencia[[#This Row],[GERENCIA]]</f>
        <v>00000211CATRIEL GISELA</v>
      </c>
      <c r="H211" t="s">
        <v>474</v>
      </c>
      <c r="I211" t="s">
        <v>475</v>
      </c>
      <c r="J211" t="s">
        <v>451</v>
      </c>
      <c r="K211" t="str">
        <f>Tabla7[[#This Row],[Obra]]&amp;Tabla7[[#This Row],[Gerente de obra]]</f>
        <v>00000214Cardenas Pablo</v>
      </c>
      <c r="L211">
        <f>MATCH(Tabla7[[#This Row],[AUX]],Loockup_ObrasGerencia[[#All],[aux]],0)</f>
        <v>214</v>
      </c>
      <c r="O211" t="str">
        <f>UPPER(GERENCIAS[[#This Row],[Gerente de obra]])</f>
        <v>ORTIZ JUAN MANUEL</v>
      </c>
      <c r="R211" t="s">
        <v>506</v>
      </c>
      <c r="S211" t="s">
        <v>507</v>
      </c>
      <c r="T211" t="s">
        <v>19</v>
      </c>
      <c r="W211" s="8" t="s">
        <v>469</v>
      </c>
      <c r="X211" s="8" t="s">
        <v>468</v>
      </c>
      <c r="Y211" s="8" t="s">
        <v>17</v>
      </c>
      <c r="Z211" t="str">
        <f t="shared" si="3"/>
        <v>00000211SI</v>
      </c>
      <c r="AA211" s="11" t="e">
        <f>MATCH(Tabla9[[#This Row],[AUX]],Loockup_ObrasGerencia[[#All],[aux]],0)</f>
        <v>#N/A</v>
      </c>
    </row>
    <row r="212" spans="1:27" x14ac:dyDescent="0.25">
      <c r="A212" s="30" t="s">
        <v>471</v>
      </c>
      <c r="B212" s="30" t="s">
        <v>470</v>
      </c>
      <c r="C212" s="30" t="s">
        <v>246</v>
      </c>
      <c r="D212" s="30" t="str" cm="1">
        <f t="array" ref="D212">UPPER(_xlfn.XLOOKUP(Loockup_ObrasGerencia[[#This Row],[OBRA_PRONTO]],Tabla7[[#All],[Obra]],Tabla7[[#All],[Gerente de obra]],"Sin Obra Asignada",0))</f>
        <v>FANJUL NICOLÁS</v>
      </c>
      <c r="E212" s="31" t="str">
        <f>Loockup_ObrasGerencia[[#This Row],[OBRA_PRONTO]]&amp;Loockup_ObrasGerencia[[#This Row],[GERENCIA]]</f>
        <v>00000212FANJUL NICOLÁS</v>
      </c>
      <c r="H212" t="s">
        <v>476</v>
      </c>
      <c r="I212" t="s">
        <v>477</v>
      </c>
      <c r="J212" t="s">
        <v>271</v>
      </c>
      <c r="K212" t="str">
        <f>Tabla7[[#This Row],[Obra]]&amp;Tabla7[[#This Row],[Gerente de obra]]</f>
        <v>00000215Catriel Gisela</v>
      </c>
      <c r="L212">
        <f>MATCH(Tabla7[[#This Row],[AUX]],Loockup_ObrasGerencia[[#All],[aux]],0)</f>
        <v>215</v>
      </c>
      <c r="O212" t="str">
        <f>UPPER(GERENCIAS[[#This Row],[Gerente de obra]])</f>
        <v>SANCHEZ OSCAR</v>
      </c>
      <c r="R212" t="s">
        <v>508</v>
      </c>
      <c r="S212" t="s">
        <v>509</v>
      </c>
      <c r="T212" t="s">
        <v>53</v>
      </c>
      <c r="W212" s="8" t="s">
        <v>471</v>
      </c>
      <c r="X212" s="8" t="s">
        <v>470</v>
      </c>
      <c r="Y212" s="8" t="s">
        <v>246</v>
      </c>
      <c r="Z212" t="str">
        <f t="shared" si="3"/>
        <v>00000212COMPENSABLE SYGSA</v>
      </c>
      <c r="AA212" s="11" t="e">
        <f>MATCH(Tabla9[[#This Row],[AUX]],Loockup_ObrasGerencia[[#All],[aux]],0)</f>
        <v>#N/A</v>
      </c>
    </row>
    <row r="213" spans="1:27" x14ac:dyDescent="0.25">
      <c r="A213" s="30" t="s">
        <v>473</v>
      </c>
      <c r="B213" s="30" t="s">
        <v>472</v>
      </c>
      <c r="C213" s="30" t="s">
        <v>17</v>
      </c>
      <c r="D213" s="30" t="str" cm="1">
        <f t="array" ref="D213">UPPER(_xlfn.XLOOKUP(Loockup_ObrasGerencia[[#This Row],[OBRA_PRONTO]],Tabla7[[#All],[Obra]],Tabla7[[#All],[Gerente de obra]],"Sin Obra Asignada",0))</f>
        <v>BARONE ALBERTO</v>
      </c>
      <c r="E213" s="31" t="str">
        <f>Loockup_ObrasGerencia[[#This Row],[OBRA_PRONTO]]&amp;Loockup_ObrasGerencia[[#This Row],[GERENCIA]]</f>
        <v>00000213BARONE ALBERTO</v>
      </c>
      <c r="H213" t="s">
        <v>480</v>
      </c>
      <c r="I213" t="s">
        <v>481</v>
      </c>
      <c r="J213" t="s">
        <v>29</v>
      </c>
      <c r="K213" t="str">
        <f>Tabla7[[#This Row],[Obra]]&amp;Tabla7[[#This Row],[Gerente de obra]]</f>
        <v>00000216Diego Ibañez</v>
      </c>
      <c r="L213">
        <f>MATCH(Tabla7[[#This Row],[AUX]],Loockup_ObrasGerencia[[#All],[aux]],0)</f>
        <v>216</v>
      </c>
      <c r="O213" t="str">
        <f>UPPER(GERENCIAS[[#This Row],[Gerente de obra]])</f>
        <v>BARONE ALBERTO</v>
      </c>
      <c r="R213" t="s">
        <v>510</v>
      </c>
      <c r="S213" t="s">
        <v>511</v>
      </c>
      <c r="T213" t="s">
        <v>132</v>
      </c>
      <c r="W213" s="8" t="s">
        <v>473</v>
      </c>
      <c r="X213" s="8" t="s">
        <v>472</v>
      </c>
      <c r="Y213" s="8" t="s">
        <v>17</v>
      </c>
      <c r="Z213" t="str">
        <f t="shared" si="3"/>
        <v>00000213SI</v>
      </c>
      <c r="AA213" s="11" t="e">
        <f>MATCH(Tabla9[[#This Row],[AUX]],Loockup_ObrasGerencia[[#All],[aux]],0)</f>
        <v>#N/A</v>
      </c>
    </row>
    <row r="214" spans="1:27" x14ac:dyDescent="0.25">
      <c r="A214" s="30" t="s">
        <v>475</v>
      </c>
      <c r="B214" s="30" t="s">
        <v>474</v>
      </c>
      <c r="C214" s="30" t="s">
        <v>246</v>
      </c>
      <c r="D214" s="30" t="str" cm="1">
        <f t="array" ref="D214">UPPER(_xlfn.XLOOKUP(Loockup_ObrasGerencia[[#This Row],[OBRA_PRONTO]],Tabla7[[#All],[Obra]],Tabla7[[#All],[Gerente de obra]],"Sin Obra Asignada",0))</f>
        <v>CARDENAS PABLO</v>
      </c>
      <c r="E214" s="31" t="str">
        <f>Loockup_ObrasGerencia[[#This Row],[OBRA_PRONTO]]&amp;Loockup_ObrasGerencia[[#This Row],[GERENCIA]]</f>
        <v>00000214CARDENAS PABLO</v>
      </c>
      <c r="H214" t="s">
        <v>482</v>
      </c>
      <c r="I214" t="s">
        <v>483</v>
      </c>
      <c r="J214" t="s">
        <v>29</v>
      </c>
      <c r="K214" t="str">
        <f>Tabla7[[#This Row],[Obra]]&amp;Tabla7[[#This Row],[Gerente de obra]]</f>
        <v>00000217Diego Ibañez</v>
      </c>
      <c r="L214">
        <f>MATCH(Tabla7[[#This Row],[AUX]],Loockup_ObrasGerencia[[#All],[aux]],0)</f>
        <v>217</v>
      </c>
      <c r="O214" t="str">
        <f>UPPER(GERENCIAS[[#This Row],[Gerente de obra]])</f>
        <v>CATRIEL GISELA</v>
      </c>
      <c r="R214" t="s">
        <v>512</v>
      </c>
      <c r="S214" t="s">
        <v>513</v>
      </c>
      <c r="T214" t="s">
        <v>243</v>
      </c>
      <c r="W214" s="8" t="s">
        <v>475</v>
      </c>
      <c r="X214" s="8" t="s">
        <v>474</v>
      </c>
      <c r="Y214" s="8" t="s">
        <v>246</v>
      </c>
      <c r="Z214" t="str">
        <f t="shared" si="3"/>
        <v>00000214COMPENSABLE SYGSA</v>
      </c>
      <c r="AA214" s="11" t="e">
        <f>MATCH(Tabla9[[#This Row],[AUX]],Loockup_ObrasGerencia[[#All],[aux]],0)</f>
        <v>#N/A</v>
      </c>
    </row>
    <row r="215" spans="1:27" x14ac:dyDescent="0.25">
      <c r="A215" s="30" t="s">
        <v>477</v>
      </c>
      <c r="B215" s="30" t="s">
        <v>476</v>
      </c>
      <c r="C215" s="30" t="s">
        <v>17</v>
      </c>
      <c r="D215" s="30" t="str" cm="1">
        <f t="array" ref="D215">UPPER(_xlfn.XLOOKUP(Loockup_ObrasGerencia[[#This Row],[OBRA_PRONTO]],Tabla7[[#All],[Obra]],Tabla7[[#All],[Gerente de obra]],"Sin Obra Asignada",0))</f>
        <v>CATRIEL GISELA</v>
      </c>
      <c r="E215" s="31" t="str">
        <f>Loockup_ObrasGerencia[[#This Row],[OBRA_PRONTO]]&amp;Loockup_ObrasGerencia[[#This Row],[GERENCIA]]</f>
        <v>00000215CATRIEL GISELA</v>
      </c>
      <c r="H215" t="s">
        <v>484</v>
      </c>
      <c r="I215" t="s">
        <v>485</v>
      </c>
      <c r="J215" t="s">
        <v>29</v>
      </c>
      <c r="K215" t="str">
        <f>Tabla7[[#This Row],[Obra]]&amp;Tabla7[[#This Row],[Gerente de obra]]</f>
        <v>00000218Diego Ibañez</v>
      </c>
      <c r="L215">
        <f>MATCH(Tabla7[[#This Row],[AUX]],Loockup_ObrasGerencia[[#All],[aux]],0)</f>
        <v>218</v>
      </c>
      <c r="O215" t="str">
        <f>UPPER(GERENCIAS[[#This Row],[Gerente de obra]])</f>
        <v>BARONE ALBERTO</v>
      </c>
      <c r="R215" t="s">
        <v>514</v>
      </c>
      <c r="S215" t="s">
        <v>515</v>
      </c>
      <c r="T215" t="s">
        <v>132</v>
      </c>
      <c r="W215" s="8" t="s">
        <v>477</v>
      </c>
      <c r="X215" s="8" t="s">
        <v>476</v>
      </c>
      <c r="Y215" s="8" t="s">
        <v>17</v>
      </c>
      <c r="Z215" t="str">
        <f t="shared" si="3"/>
        <v>00000215SI</v>
      </c>
      <c r="AA215" s="11" t="e">
        <f>MATCH(Tabla9[[#This Row],[AUX]],Loockup_ObrasGerencia[[#All],[aux]],0)</f>
        <v>#N/A</v>
      </c>
    </row>
    <row r="216" spans="1:27" x14ac:dyDescent="0.25">
      <c r="A216" s="30" t="s">
        <v>481</v>
      </c>
      <c r="B216" s="30" t="s">
        <v>480</v>
      </c>
      <c r="C216" s="30" t="s">
        <v>28</v>
      </c>
      <c r="D216" s="30" t="str" cm="1">
        <f t="array" ref="D216">UPPER(_xlfn.XLOOKUP(Loockup_ObrasGerencia[[#This Row],[OBRA_PRONTO]],Tabla7[[#All],[Obra]],Tabla7[[#All],[Gerente de obra]],"Sin Obra Asignada",0))</f>
        <v>DIEGO IBAÑEZ</v>
      </c>
      <c r="E216" s="31" t="str">
        <f>Loockup_ObrasGerencia[[#This Row],[OBRA_PRONTO]]&amp;Loockup_ObrasGerencia[[#This Row],[GERENCIA]]</f>
        <v>00000216DIEGO IBAÑEZ</v>
      </c>
      <c r="H216" t="s">
        <v>486</v>
      </c>
      <c r="I216" t="s">
        <v>487</v>
      </c>
      <c r="J216" t="s">
        <v>451</v>
      </c>
      <c r="K216" t="str">
        <f>Tabla7[[#This Row],[Obra]]&amp;Tabla7[[#This Row],[Gerente de obra]]</f>
        <v>00000219Cardenas Pablo</v>
      </c>
      <c r="L216">
        <f>MATCH(Tabla7[[#This Row],[AUX]],Loockup_ObrasGerencia[[#All],[aux]],0)</f>
        <v>219</v>
      </c>
      <c r="O216" t="str">
        <f>UPPER(GERENCIAS[[#This Row],[Gerente de obra]])</f>
        <v>FRANCISCO DI LISIO</v>
      </c>
      <c r="R216" t="s">
        <v>516</v>
      </c>
      <c r="S216" t="s">
        <v>517</v>
      </c>
      <c r="T216" t="s">
        <v>78</v>
      </c>
      <c r="W216" s="8" t="s">
        <v>481</v>
      </c>
      <c r="X216" s="8" t="s">
        <v>480</v>
      </c>
      <c r="Y216" s="8" t="s">
        <v>28</v>
      </c>
      <c r="Z216" t="str">
        <f t="shared" si="3"/>
        <v>00000216COMPENSABLE TALLER</v>
      </c>
      <c r="AA216" s="11" t="e">
        <f>MATCH(Tabla9[[#This Row],[AUX]],Loockup_ObrasGerencia[[#All],[aux]],0)</f>
        <v>#N/A</v>
      </c>
    </row>
    <row r="217" spans="1:27" x14ac:dyDescent="0.25">
      <c r="A217" s="30" t="s">
        <v>483</v>
      </c>
      <c r="B217" s="30" t="s">
        <v>482</v>
      </c>
      <c r="C217" s="30" t="s">
        <v>28</v>
      </c>
      <c r="D217" s="30" t="str" cm="1">
        <f t="array" ref="D217">UPPER(_xlfn.XLOOKUP(Loockup_ObrasGerencia[[#This Row],[OBRA_PRONTO]],Tabla7[[#All],[Obra]],Tabla7[[#All],[Gerente de obra]],"Sin Obra Asignada",0))</f>
        <v>DIEGO IBAÑEZ</v>
      </c>
      <c r="E217" s="31" t="str">
        <f>Loockup_ObrasGerencia[[#This Row],[OBRA_PRONTO]]&amp;Loockup_ObrasGerencia[[#This Row],[GERENCIA]]</f>
        <v>00000217DIEGO IBAÑEZ</v>
      </c>
      <c r="H217" t="s">
        <v>488</v>
      </c>
      <c r="I217" t="s">
        <v>489</v>
      </c>
      <c r="J217" t="s">
        <v>397</v>
      </c>
      <c r="K217" t="str">
        <f>Tabla7[[#This Row],[Obra]]&amp;Tabla7[[#This Row],[Gerente de obra]]</f>
        <v>00000220Gonzalo Silva</v>
      </c>
      <c r="L217">
        <f>MATCH(Tabla7[[#This Row],[AUX]],Loockup_ObrasGerencia[[#All],[aux]],0)</f>
        <v>220</v>
      </c>
      <c r="O217" t="str">
        <f>UPPER(GERENCIAS[[#This Row],[Gerente de obra]])</f>
        <v>GONZALO SILVA</v>
      </c>
      <c r="R217" t="s">
        <v>518</v>
      </c>
      <c r="S217" t="s">
        <v>519</v>
      </c>
      <c r="T217" t="s">
        <v>368</v>
      </c>
      <c r="W217" s="8" t="s">
        <v>483</v>
      </c>
      <c r="X217" s="8" t="s">
        <v>482</v>
      </c>
      <c r="Y217" s="8" t="s">
        <v>28</v>
      </c>
      <c r="Z217" t="str">
        <f t="shared" si="3"/>
        <v>00000217COMPENSABLE TALLER</v>
      </c>
      <c r="AA217" s="11" t="e">
        <f>MATCH(Tabla9[[#This Row],[AUX]],Loockup_ObrasGerencia[[#All],[aux]],0)</f>
        <v>#N/A</v>
      </c>
    </row>
    <row r="218" spans="1:27" x14ac:dyDescent="0.25">
      <c r="A218" s="30" t="s">
        <v>485</v>
      </c>
      <c r="B218" s="30" t="s">
        <v>484</v>
      </c>
      <c r="C218" s="30" t="s">
        <v>28</v>
      </c>
      <c r="D218" s="30" t="str" cm="1">
        <f t="array" ref="D218">UPPER(_xlfn.XLOOKUP(Loockup_ObrasGerencia[[#This Row],[OBRA_PRONTO]],Tabla7[[#All],[Obra]],Tabla7[[#All],[Gerente de obra]],"Sin Obra Asignada",0))</f>
        <v>DIEGO IBAÑEZ</v>
      </c>
      <c r="E218" s="31" t="str">
        <f>Loockup_ObrasGerencia[[#This Row],[OBRA_PRONTO]]&amp;Loockup_ObrasGerencia[[#This Row],[GERENCIA]]</f>
        <v>00000218DIEGO IBAÑEZ</v>
      </c>
      <c r="H218" t="s">
        <v>490</v>
      </c>
      <c r="I218" t="s">
        <v>491</v>
      </c>
      <c r="J218" t="s">
        <v>397</v>
      </c>
      <c r="K218" t="str">
        <f>Tabla7[[#This Row],[Obra]]&amp;Tabla7[[#This Row],[Gerente de obra]]</f>
        <v>00000221Gonzalo Silva</v>
      </c>
      <c r="L218">
        <f>MATCH(Tabla7[[#This Row],[AUX]],Loockup_ObrasGerencia[[#All],[aux]],0)</f>
        <v>221</v>
      </c>
      <c r="O218" t="str">
        <f>UPPER(GERENCIAS[[#This Row],[Gerente de obra]])</f>
        <v>DIEGO IBAÑEZ</v>
      </c>
      <c r="R218" t="s">
        <v>520</v>
      </c>
      <c r="S218" t="s">
        <v>521</v>
      </c>
      <c r="T218" t="s">
        <v>30</v>
      </c>
      <c r="W218" s="8" t="s">
        <v>485</v>
      </c>
      <c r="X218" s="8" t="s">
        <v>484</v>
      </c>
      <c r="Y218" s="8" t="s">
        <v>28</v>
      </c>
      <c r="Z218" t="str">
        <f t="shared" si="3"/>
        <v>00000218COMPENSABLE TALLER</v>
      </c>
      <c r="AA218" s="11" t="e">
        <f>MATCH(Tabla9[[#This Row],[AUX]],Loockup_ObrasGerencia[[#All],[aux]],0)</f>
        <v>#N/A</v>
      </c>
    </row>
    <row r="219" spans="1:27" x14ac:dyDescent="0.25">
      <c r="A219" s="30" t="s">
        <v>487</v>
      </c>
      <c r="B219" s="30" t="s">
        <v>486</v>
      </c>
      <c r="C219" s="30" t="s">
        <v>17</v>
      </c>
      <c r="D219" s="30" t="str" cm="1">
        <f t="array" ref="D219">UPPER(_xlfn.XLOOKUP(Loockup_ObrasGerencia[[#This Row],[OBRA_PRONTO]],Tabla7[[#All],[Obra]],Tabla7[[#All],[Gerente de obra]],"Sin Obra Asignada",0))</f>
        <v>CARDENAS PABLO</v>
      </c>
      <c r="E219" s="31" t="str">
        <f>Loockup_ObrasGerencia[[#This Row],[OBRA_PRONTO]]&amp;Loockup_ObrasGerencia[[#This Row],[GERENCIA]]</f>
        <v>00000219CARDENAS PABLO</v>
      </c>
      <c r="H219" t="s">
        <v>492</v>
      </c>
      <c r="I219" t="s">
        <v>493</v>
      </c>
      <c r="J219" t="s">
        <v>271</v>
      </c>
      <c r="K219" t="str">
        <f>Tabla7[[#This Row],[Obra]]&amp;Tabla7[[#This Row],[Gerente de obra]]</f>
        <v>00000222Catriel Gisela</v>
      </c>
      <c r="L219">
        <f>MATCH(Tabla7[[#This Row],[AUX]],Loockup_ObrasGerencia[[#All],[aux]],0)</f>
        <v>222</v>
      </c>
      <c r="O219" t="str">
        <f>UPPER(GERENCIAS[[#This Row],[Gerente de obra]])</f>
        <v>DIEGO IBAÑEZ</v>
      </c>
      <c r="R219" t="s">
        <v>522</v>
      </c>
      <c r="S219" t="s">
        <v>523</v>
      </c>
      <c r="T219" t="s">
        <v>30</v>
      </c>
      <c r="W219" s="8" t="s">
        <v>487</v>
      </c>
      <c r="X219" s="8" t="s">
        <v>486</v>
      </c>
      <c r="Y219" s="8" t="s">
        <v>17</v>
      </c>
      <c r="Z219" t="str">
        <f t="shared" si="3"/>
        <v>00000219SI</v>
      </c>
      <c r="AA219" s="11" t="e">
        <f>MATCH(Tabla9[[#This Row],[AUX]],Loockup_ObrasGerencia[[#All],[aux]],0)</f>
        <v>#N/A</v>
      </c>
    </row>
    <row r="220" spans="1:27" x14ac:dyDescent="0.25">
      <c r="A220" s="30" t="s">
        <v>489</v>
      </c>
      <c r="B220" s="30" t="s">
        <v>488</v>
      </c>
      <c r="C220" s="30" t="s">
        <v>17</v>
      </c>
      <c r="D220" s="30" t="str" cm="1">
        <f t="array" ref="D220">UPPER(_xlfn.XLOOKUP(Loockup_ObrasGerencia[[#This Row],[OBRA_PRONTO]],Tabla7[[#All],[Obra]],Tabla7[[#All],[Gerente de obra]],"Sin Obra Asignada",0))</f>
        <v>GONZALO SILVA</v>
      </c>
      <c r="E220" s="31" t="str">
        <f>Loockup_ObrasGerencia[[#This Row],[OBRA_PRONTO]]&amp;Loockup_ObrasGerencia[[#This Row],[GERENCIA]]</f>
        <v>00000220GONZALO SILVA</v>
      </c>
      <c r="H220" t="s">
        <v>494</v>
      </c>
      <c r="I220" t="s">
        <v>495</v>
      </c>
      <c r="J220" t="s">
        <v>18</v>
      </c>
      <c r="K220" t="str">
        <f>Tabla7[[#This Row],[Obra]]&amp;Tabla7[[#This Row],[Gerente de obra]]</f>
        <v>00000223Ortiz Juan Manuel</v>
      </c>
      <c r="L220">
        <f>MATCH(Tabla7[[#This Row],[AUX]],Loockup_ObrasGerencia[[#All],[aux]],0)</f>
        <v>223</v>
      </c>
      <c r="O220" t="str">
        <f>UPPER(GERENCIAS[[#This Row],[Gerente de obra]])</f>
        <v>DIEGO AGUIRRE</v>
      </c>
      <c r="R220" t="s">
        <v>524</v>
      </c>
      <c r="S220" t="s">
        <v>525</v>
      </c>
      <c r="T220" t="s">
        <v>178</v>
      </c>
      <c r="W220" s="8" t="s">
        <v>489</v>
      </c>
      <c r="X220" s="8" t="s">
        <v>488</v>
      </c>
      <c r="Y220" s="8" t="s">
        <v>17</v>
      </c>
      <c r="Z220" t="str">
        <f t="shared" si="3"/>
        <v>00000220SI</v>
      </c>
      <c r="AA220" s="11" t="e">
        <f>MATCH(Tabla9[[#This Row],[AUX]],Loockup_ObrasGerencia[[#All],[aux]],0)</f>
        <v>#N/A</v>
      </c>
    </row>
    <row r="221" spans="1:27" x14ac:dyDescent="0.25">
      <c r="A221" s="30" t="s">
        <v>491</v>
      </c>
      <c r="B221" s="30" t="s">
        <v>490</v>
      </c>
      <c r="C221" s="30" t="s">
        <v>17</v>
      </c>
      <c r="D221" s="30" t="str" cm="1">
        <f t="array" ref="D221">UPPER(_xlfn.XLOOKUP(Loockup_ObrasGerencia[[#This Row],[OBRA_PRONTO]],Tabla7[[#All],[Obra]],Tabla7[[#All],[Gerente de obra]],"Sin Obra Asignada",0))</f>
        <v>GONZALO SILVA</v>
      </c>
      <c r="E221" s="31" t="str">
        <f>Loockup_ObrasGerencia[[#This Row],[OBRA_PRONTO]]&amp;Loockup_ObrasGerencia[[#This Row],[GERENCIA]]</f>
        <v>00000221GONZALO SILVA</v>
      </c>
      <c r="H221" t="s">
        <v>496</v>
      </c>
      <c r="I221" t="s">
        <v>497</v>
      </c>
      <c r="J221" t="s">
        <v>24</v>
      </c>
      <c r="K221" t="str">
        <f>Tabla7[[#This Row],[Obra]]&amp;Tabla7[[#This Row],[Gerente de obra]]</f>
        <v>00000224Trujillo</v>
      </c>
      <c r="L221">
        <f>MATCH(Tabla7[[#This Row],[AUX]],Loockup_ObrasGerencia[[#All],[aux]],0)</f>
        <v>224</v>
      </c>
      <c r="O221" t="str">
        <f>UPPER(GERENCIAS[[#This Row],[Gerente de obra]])</f>
        <v>FRANCISCO DI LISIO</v>
      </c>
      <c r="R221" t="s">
        <v>526</v>
      </c>
      <c r="S221" t="s">
        <v>527</v>
      </c>
      <c r="T221" t="s">
        <v>78</v>
      </c>
      <c r="W221" s="8" t="s">
        <v>491</v>
      </c>
      <c r="X221" s="8" t="s">
        <v>490</v>
      </c>
      <c r="Y221" s="8" t="s">
        <v>17</v>
      </c>
      <c r="Z221" t="str">
        <f t="shared" si="3"/>
        <v>00000221SI</v>
      </c>
      <c r="AA221" s="11" t="e">
        <f>MATCH(Tabla9[[#This Row],[AUX]],Loockup_ObrasGerencia[[#All],[aux]],0)</f>
        <v>#N/A</v>
      </c>
    </row>
    <row r="222" spans="1:27" x14ac:dyDescent="0.25">
      <c r="A222" s="30" t="s">
        <v>493</v>
      </c>
      <c r="B222" s="30" t="s">
        <v>492</v>
      </c>
      <c r="C222" s="30" t="s">
        <v>17</v>
      </c>
      <c r="D222" s="30" t="str" cm="1">
        <f t="array" ref="D222">UPPER(_xlfn.XLOOKUP(Loockup_ObrasGerencia[[#This Row],[OBRA_PRONTO]],Tabla7[[#All],[Obra]],Tabla7[[#All],[Gerente de obra]],"Sin Obra Asignada",0))</f>
        <v>CATRIEL GISELA</v>
      </c>
      <c r="E222" s="31" t="str">
        <f>Loockup_ObrasGerencia[[#This Row],[OBRA_PRONTO]]&amp;Loockup_ObrasGerencia[[#This Row],[GERENCIA]]</f>
        <v>00000222CATRIEL GISELA</v>
      </c>
      <c r="H222" t="s">
        <v>498</v>
      </c>
      <c r="I222" t="s">
        <v>499</v>
      </c>
      <c r="J222" t="s">
        <v>451</v>
      </c>
      <c r="K222" t="str">
        <f>Tabla7[[#This Row],[Obra]]&amp;Tabla7[[#This Row],[Gerente de obra]]</f>
        <v>00000225Cardenas Pablo</v>
      </c>
      <c r="L222">
        <f>MATCH(Tabla7[[#This Row],[AUX]],Loockup_ObrasGerencia[[#All],[aux]],0)</f>
        <v>225</v>
      </c>
      <c r="O222" t="str">
        <f>UPPER(GERENCIAS[[#This Row],[Gerente de obra]])</f>
        <v>FANJUL NICOLÁS</v>
      </c>
      <c r="R222" t="s">
        <v>528</v>
      </c>
      <c r="S222" t="s">
        <v>529</v>
      </c>
      <c r="T222" t="s">
        <v>226</v>
      </c>
      <c r="W222" s="8" t="s">
        <v>493</v>
      </c>
      <c r="X222" s="8" t="s">
        <v>492</v>
      </c>
      <c r="Y222" s="8" t="s">
        <v>17</v>
      </c>
      <c r="Z222" t="str">
        <f t="shared" si="3"/>
        <v>00000222SI</v>
      </c>
      <c r="AA222" s="11" t="e">
        <f>MATCH(Tabla9[[#This Row],[AUX]],Loockup_ObrasGerencia[[#All],[aux]],0)</f>
        <v>#N/A</v>
      </c>
    </row>
    <row r="223" spans="1:27" x14ac:dyDescent="0.25">
      <c r="A223" s="30" t="s">
        <v>495</v>
      </c>
      <c r="B223" s="30" t="s">
        <v>494</v>
      </c>
      <c r="C223" s="30" t="s">
        <v>17</v>
      </c>
      <c r="D223" s="30" t="str" cm="1">
        <f t="array" ref="D223">UPPER(_xlfn.XLOOKUP(Loockup_ObrasGerencia[[#This Row],[OBRA_PRONTO]],Tabla7[[#All],[Obra]],Tabla7[[#All],[Gerente de obra]],"Sin Obra Asignada",0))</f>
        <v>ORTIZ JUAN MANUEL</v>
      </c>
      <c r="E223" s="31" t="str">
        <f>Loockup_ObrasGerencia[[#This Row],[OBRA_PRONTO]]&amp;Loockup_ObrasGerencia[[#This Row],[GERENCIA]]</f>
        <v>00000223ORTIZ JUAN MANUEL</v>
      </c>
      <c r="H223" t="s">
        <v>500</v>
      </c>
      <c r="I223" t="s">
        <v>501</v>
      </c>
      <c r="J223" t="s">
        <v>79</v>
      </c>
      <c r="K223" t="str">
        <f>Tabla7[[#This Row],[Obra]]&amp;Tabla7[[#This Row],[Gerente de obra]]</f>
        <v>00000226Francisco Di Lisio</v>
      </c>
      <c r="L223">
        <f>MATCH(Tabla7[[#This Row],[AUX]],Loockup_ObrasGerencia[[#All],[aux]],0)</f>
        <v>226</v>
      </c>
      <c r="O223" t="str">
        <f>UPPER(GERENCIAS[[#This Row],[Gerente de obra]])</f>
        <v>METZLER JAVIER</v>
      </c>
      <c r="R223" t="s">
        <v>530</v>
      </c>
      <c r="S223" t="s">
        <v>531</v>
      </c>
      <c r="T223" t="s">
        <v>68</v>
      </c>
      <c r="W223" s="8" t="s">
        <v>495</v>
      </c>
      <c r="X223" s="8" t="s">
        <v>494</v>
      </c>
      <c r="Y223" s="8" t="s">
        <v>17</v>
      </c>
      <c r="Z223" t="str">
        <f t="shared" si="3"/>
        <v>00000223SI</v>
      </c>
      <c r="AA223" s="11" t="e">
        <f>MATCH(Tabla9[[#This Row],[AUX]],Loockup_ObrasGerencia[[#All],[aux]],0)</f>
        <v>#N/A</v>
      </c>
    </row>
    <row r="224" spans="1:27" x14ac:dyDescent="0.25">
      <c r="A224" s="30" t="s">
        <v>497</v>
      </c>
      <c r="B224" s="30" t="s">
        <v>496</v>
      </c>
      <c r="C224" s="30" t="s">
        <v>17</v>
      </c>
      <c r="D224" s="30" t="str" cm="1">
        <f t="array" ref="D224">UPPER(_xlfn.XLOOKUP(Loockup_ObrasGerencia[[#This Row],[OBRA_PRONTO]],Tabla7[[#All],[Obra]],Tabla7[[#All],[Gerente de obra]],"Sin Obra Asignada",0))</f>
        <v>TRUJILLO</v>
      </c>
      <c r="E224" s="31" t="str">
        <f>Loockup_ObrasGerencia[[#This Row],[OBRA_PRONTO]]&amp;Loockup_ObrasGerencia[[#This Row],[GERENCIA]]</f>
        <v>00000224TRUJILLO</v>
      </c>
      <c r="H224" t="s">
        <v>502</v>
      </c>
      <c r="I224" t="s">
        <v>503</v>
      </c>
      <c r="J224" t="s">
        <v>451</v>
      </c>
      <c r="K224" t="str">
        <f>Tabla7[[#This Row],[Obra]]&amp;Tabla7[[#This Row],[Gerente de obra]]</f>
        <v>00000227Cardenas Pablo</v>
      </c>
      <c r="L224">
        <f>MATCH(Tabla7[[#This Row],[AUX]],Loockup_ObrasGerencia[[#All],[aux]],0)</f>
        <v>227</v>
      </c>
      <c r="O224" t="str">
        <f>UPPER(GERENCIAS[[#This Row],[Gerente de obra]])</f>
        <v>FRANCISCO DI LISIO</v>
      </c>
      <c r="R224" t="s">
        <v>532</v>
      </c>
      <c r="S224" t="s">
        <v>533</v>
      </c>
      <c r="T224" t="s">
        <v>78</v>
      </c>
      <c r="W224" s="8" t="s">
        <v>497</v>
      </c>
      <c r="X224" s="8" t="s">
        <v>496</v>
      </c>
      <c r="Y224" s="8" t="s">
        <v>17</v>
      </c>
      <c r="Z224" t="str">
        <f t="shared" si="3"/>
        <v>00000224SI</v>
      </c>
      <c r="AA224" s="11" t="e">
        <f>MATCH(Tabla9[[#This Row],[AUX]],Loockup_ObrasGerencia[[#All],[aux]],0)</f>
        <v>#N/A</v>
      </c>
    </row>
    <row r="225" spans="1:27" x14ac:dyDescent="0.25">
      <c r="A225" s="30" t="s">
        <v>499</v>
      </c>
      <c r="B225" s="30" t="s">
        <v>498</v>
      </c>
      <c r="C225" s="30" t="s">
        <v>17</v>
      </c>
      <c r="D225" s="30" t="str" cm="1">
        <f t="array" ref="D225">UPPER(_xlfn.XLOOKUP(Loockup_ObrasGerencia[[#This Row],[OBRA_PRONTO]],Tabla7[[#All],[Obra]],Tabla7[[#All],[Gerente de obra]],"Sin Obra Asignada",0))</f>
        <v>CARDENAS PABLO</v>
      </c>
      <c r="E225" s="31" t="str">
        <f>Loockup_ObrasGerencia[[#This Row],[OBRA_PRONTO]]&amp;Loockup_ObrasGerencia[[#This Row],[GERENCIA]]</f>
        <v>00000225CARDENAS PABLO</v>
      </c>
      <c r="H225" t="s">
        <v>504</v>
      </c>
      <c r="I225" t="s">
        <v>505</v>
      </c>
      <c r="J225" t="s">
        <v>141</v>
      </c>
      <c r="K225" t="str">
        <f>Tabla7[[#This Row],[Obra]]&amp;Tabla7[[#This Row],[Gerente de obra]]</f>
        <v>00000228Barone Alberto</v>
      </c>
      <c r="L225">
        <f>MATCH(Tabla7[[#This Row],[AUX]],Loockup_ObrasGerencia[[#All],[aux]],0)</f>
        <v>228</v>
      </c>
      <c r="O225" t="str">
        <f>UPPER(GERENCIAS[[#This Row],[Gerente de obra]])</f>
        <v>ORTIZ JUAN MANUEL</v>
      </c>
      <c r="R225" t="s">
        <v>534</v>
      </c>
      <c r="S225" t="s">
        <v>535</v>
      </c>
      <c r="T225" t="s">
        <v>19</v>
      </c>
      <c r="W225" s="8" t="s">
        <v>499</v>
      </c>
      <c r="X225" s="8" t="s">
        <v>498</v>
      </c>
      <c r="Y225" s="8" t="s">
        <v>17</v>
      </c>
      <c r="Z225" t="str">
        <f t="shared" si="3"/>
        <v>00000225SI</v>
      </c>
      <c r="AA225" s="11" t="e">
        <f>MATCH(Tabla9[[#This Row],[AUX]],Loockup_ObrasGerencia[[#All],[aux]],0)</f>
        <v>#N/A</v>
      </c>
    </row>
    <row r="226" spans="1:27" x14ac:dyDescent="0.25">
      <c r="A226" s="30" t="s">
        <v>501</v>
      </c>
      <c r="B226" s="30" t="s">
        <v>500</v>
      </c>
      <c r="C226" s="30" t="s">
        <v>270</v>
      </c>
      <c r="D226" s="30" t="str" cm="1">
        <f t="array" ref="D226">UPPER(_xlfn.XLOOKUP(Loockup_ObrasGerencia[[#This Row],[OBRA_PRONTO]],Tabla7[[#All],[Obra]],Tabla7[[#All],[Gerente de obra]],"Sin Obra Asignada",0))</f>
        <v>FRANCISCO DI LISIO</v>
      </c>
      <c r="E226" s="31" t="str">
        <f>Loockup_ObrasGerencia[[#This Row],[OBRA_PRONTO]]&amp;Loockup_ObrasGerencia[[#This Row],[GERENCIA]]</f>
        <v>00000226FRANCISCO DI LISIO</v>
      </c>
      <c r="H226" t="s">
        <v>506</v>
      </c>
      <c r="I226" t="s">
        <v>507</v>
      </c>
      <c r="J226" t="s">
        <v>18</v>
      </c>
      <c r="K226" t="str">
        <f>Tabla7[[#This Row],[Obra]]&amp;Tabla7[[#This Row],[Gerente de obra]]</f>
        <v>00000229Ortiz Juan Manuel</v>
      </c>
      <c r="L226">
        <f>MATCH(Tabla7[[#This Row],[AUX]],Loockup_ObrasGerencia[[#All],[aux]],0)</f>
        <v>229</v>
      </c>
      <c r="O226" t="str">
        <f>UPPER(GERENCIAS[[#This Row],[Gerente de obra]])</f>
        <v>CATRIEL GISELA</v>
      </c>
      <c r="R226" t="s">
        <v>536</v>
      </c>
      <c r="S226" t="s">
        <v>537</v>
      </c>
      <c r="T226" t="s">
        <v>243</v>
      </c>
      <c r="W226" s="8" t="s">
        <v>501</v>
      </c>
      <c r="X226" s="8" t="s">
        <v>500</v>
      </c>
      <c r="Y226" s="8" t="s">
        <v>270</v>
      </c>
      <c r="Z226" t="str">
        <f t="shared" si="3"/>
        <v>00000226ACTIVOS</v>
      </c>
      <c r="AA226" s="11" t="e">
        <f>MATCH(Tabla9[[#This Row],[AUX]],Loockup_ObrasGerencia[[#All],[aux]],0)</f>
        <v>#N/A</v>
      </c>
    </row>
    <row r="227" spans="1:27" x14ac:dyDescent="0.25">
      <c r="A227" s="30" t="s">
        <v>503</v>
      </c>
      <c r="B227" s="30" t="s">
        <v>502</v>
      </c>
      <c r="C227" s="30" t="s">
        <v>17</v>
      </c>
      <c r="D227" s="30" t="str" cm="1">
        <f t="array" ref="D227">UPPER(_xlfn.XLOOKUP(Loockup_ObrasGerencia[[#This Row],[OBRA_PRONTO]],Tabla7[[#All],[Obra]],Tabla7[[#All],[Gerente de obra]],"Sin Obra Asignada",0))</f>
        <v>CARDENAS PABLO</v>
      </c>
      <c r="E227" s="31" t="str">
        <f>Loockup_ObrasGerencia[[#This Row],[OBRA_PRONTO]]&amp;Loockup_ObrasGerencia[[#This Row],[GERENCIA]]</f>
        <v>00000227CARDENAS PABLO</v>
      </c>
      <c r="H227" t="s">
        <v>508</v>
      </c>
      <c r="I227" t="s">
        <v>509</v>
      </c>
      <c r="J227" t="s">
        <v>52</v>
      </c>
      <c r="K227" t="str">
        <f>Tabla7[[#This Row],[Obra]]&amp;Tabla7[[#This Row],[Gerente de obra]]</f>
        <v>00000230Sanchez Oscar</v>
      </c>
      <c r="L227">
        <f>MATCH(Tabla7[[#This Row],[AUX]],Loockup_ObrasGerencia[[#All],[aux]],0)</f>
        <v>230</v>
      </c>
      <c r="O227" t="str">
        <f>UPPER(GERENCIAS[[#This Row],[Gerente de obra]])</f>
        <v>ORTIZ JUAN MANUEL</v>
      </c>
      <c r="R227" t="s">
        <v>538</v>
      </c>
      <c r="S227" t="s">
        <v>539</v>
      </c>
      <c r="T227" t="s">
        <v>19</v>
      </c>
      <c r="W227" s="8" t="s">
        <v>503</v>
      </c>
      <c r="X227" s="8" t="s">
        <v>502</v>
      </c>
      <c r="Y227" s="8" t="s">
        <v>17</v>
      </c>
      <c r="Z227" t="str">
        <f t="shared" si="3"/>
        <v>00000227SI</v>
      </c>
      <c r="AA227" s="11" t="e">
        <f>MATCH(Tabla9[[#This Row],[AUX]],Loockup_ObrasGerencia[[#All],[aux]],0)</f>
        <v>#N/A</v>
      </c>
    </row>
    <row r="228" spans="1:27" x14ac:dyDescent="0.25">
      <c r="A228" s="30" t="s">
        <v>505</v>
      </c>
      <c r="B228" s="30" t="s">
        <v>504</v>
      </c>
      <c r="C228" s="30" t="s">
        <v>17</v>
      </c>
      <c r="D228" s="30" t="str" cm="1">
        <f t="array" ref="D228">UPPER(_xlfn.XLOOKUP(Loockup_ObrasGerencia[[#This Row],[OBRA_PRONTO]],Tabla7[[#All],[Obra]],Tabla7[[#All],[Gerente de obra]],"Sin Obra Asignada",0))</f>
        <v>BARONE ALBERTO</v>
      </c>
      <c r="E228" s="31" t="str">
        <f>Loockup_ObrasGerencia[[#This Row],[OBRA_PRONTO]]&amp;Loockup_ObrasGerencia[[#This Row],[GERENCIA]]</f>
        <v>00000228BARONE ALBERTO</v>
      </c>
      <c r="H228" t="s">
        <v>510</v>
      </c>
      <c r="I228" t="s">
        <v>511</v>
      </c>
      <c r="J228" t="s">
        <v>141</v>
      </c>
      <c r="K228" t="str">
        <f>Tabla7[[#This Row],[Obra]]&amp;Tabla7[[#This Row],[Gerente de obra]]</f>
        <v>00000231Barone Alberto</v>
      </c>
      <c r="L228">
        <f>MATCH(Tabla7[[#This Row],[AUX]],Loockup_ObrasGerencia[[#All],[aux]],0)</f>
        <v>231</v>
      </c>
      <c r="O228" t="str">
        <f>UPPER(GERENCIAS[[#This Row],[Gerente de obra]])</f>
        <v>BARONE ALBERTO</v>
      </c>
      <c r="R228" t="s">
        <v>540</v>
      </c>
      <c r="S228" t="s">
        <v>541</v>
      </c>
      <c r="T228" t="s">
        <v>132</v>
      </c>
      <c r="W228" s="8" t="s">
        <v>505</v>
      </c>
      <c r="X228" s="8" t="s">
        <v>504</v>
      </c>
      <c r="Y228" s="8" t="s">
        <v>17</v>
      </c>
      <c r="Z228" t="str">
        <f t="shared" si="3"/>
        <v>00000228SI</v>
      </c>
      <c r="AA228" s="11" t="e">
        <f>MATCH(Tabla9[[#This Row],[AUX]],Loockup_ObrasGerencia[[#All],[aux]],0)</f>
        <v>#N/A</v>
      </c>
    </row>
    <row r="229" spans="1:27" x14ac:dyDescent="0.25">
      <c r="A229" s="30" t="s">
        <v>507</v>
      </c>
      <c r="B229" s="30" t="s">
        <v>506</v>
      </c>
      <c r="C229" s="30" t="s">
        <v>17</v>
      </c>
      <c r="D229" s="30" t="str" cm="1">
        <f t="array" ref="D229">UPPER(_xlfn.XLOOKUP(Loockup_ObrasGerencia[[#This Row],[OBRA_PRONTO]],Tabla7[[#All],[Obra]],Tabla7[[#All],[Gerente de obra]],"Sin Obra Asignada",0))</f>
        <v>ORTIZ JUAN MANUEL</v>
      </c>
      <c r="E229" s="31" t="str">
        <f>Loockup_ObrasGerencia[[#This Row],[OBRA_PRONTO]]&amp;Loockup_ObrasGerencia[[#This Row],[GERENCIA]]</f>
        <v>00000229ORTIZ JUAN MANUEL</v>
      </c>
      <c r="H229" t="s">
        <v>512</v>
      </c>
      <c r="I229" t="s">
        <v>513</v>
      </c>
      <c r="J229" t="s">
        <v>271</v>
      </c>
      <c r="K229" t="str">
        <f>Tabla7[[#This Row],[Obra]]&amp;Tabla7[[#This Row],[Gerente de obra]]</f>
        <v>00000232Catriel Gisela</v>
      </c>
      <c r="L229">
        <f>MATCH(Tabla7[[#This Row],[AUX]],Loockup_ObrasGerencia[[#All],[aux]],0)</f>
        <v>232</v>
      </c>
      <c r="O229" t="str">
        <f>UPPER(GERENCIAS[[#This Row],[Gerente de obra]])</f>
        <v>ORTIZ JUAN MANUEL</v>
      </c>
      <c r="R229" t="s">
        <v>542</v>
      </c>
      <c r="S229" t="s">
        <v>543</v>
      </c>
      <c r="T229" t="s">
        <v>19</v>
      </c>
      <c r="W229" s="8" t="s">
        <v>507</v>
      </c>
      <c r="X229" s="8" t="s">
        <v>506</v>
      </c>
      <c r="Y229" s="8" t="s">
        <v>17</v>
      </c>
      <c r="Z229" t="str">
        <f t="shared" si="3"/>
        <v>00000229SI</v>
      </c>
      <c r="AA229" s="11" t="e">
        <f>MATCH(Tabla9[[#This Row],[AUX]],Loockup_ObrasGerencia[[#All],[aux]],0)</f>
        <v>#N/A</v>
      </c>
    </row>
    <row r="230" spans="1:27" x14ac:dyDescent="0.25">
      <c r="A230" s="30" t="s">
        <v>509</v>
      </c>
      <c r="B230" s="30" t="s">
        <v>508</v>
      </c>
      <c r="C230" s="30" t="s">
        <v>17</v>
      </c>
      <c r="D230" s="30" t="str" cm="1">
        <f t="array" ref="D230">UPPER(_xlfn.XLOOKUP(Loockup_ObrasGerencia[[#This Row],[OBRA_PRONTO]],Tabla7[[#All],[Obra]],Tabla7[[#All],[Gerente de obra]],"Sin Obra Asignada",0))</f>
        <v>SANCHEZ OSCAR</v>
      </c>
      <c r="E230" s="31" t="str">
        <f>Loockup_ObrasGerencia[[#This Row],[OBRA_PRONTO]]&amp;Loockup_ObrasGerencia[[#This Row],[GERENCIA]]</f>
        <v>00000230SANCHEZ OSCAR</v>
      </c>
      <c r="H230" t="s">
        <v>514</v>
      </c>
      <c r="I230" t="s">
        <v>515</v>
      </c>
      <c r="J230" t="s">
        <v>141</v>
      </c>
      <c r="K230" t="str">
        <f>Tabla7[[#This Row],[Obra]]&amp;Tabla7[[#This Row],[Gerente de obra]]</f>
        <v>00000233Barone Alberto</v>
      </c>
      <c r="L230">
        <f>MATCH(Tabla7[[#This Row],[AUX]],Loockup_ObrasGerencia[[#All],[aux]],0)</f>
        <v>233</v>
      </c>
      <c r="O230" t="str">
        <f>UPPER(GERENCIAS[[#This Row],[Gerente de obra]])</f>
        <v>DIEGO IBAÑEZ</v>
      </c>
      <c r="R230" t="s">
        <v>544</v>
      </c>
      <c r="S230" t="s">
        <v>545</v>
      </c>
      <c r="T230" t="s">
        <v>30</v>
      </c>
      <c r="W230" s="8" t="s">
        <v>509</v>
      </c>
      <c r="X230" s="8" t="s">
        <v>508</v>
      </c>
      <c r="Y230" s="8" t="s">
        <v>17</v>
      </c>
      <c r="Z230" t="str">
        <f t="shared" si="3"/>
        <v>00000230SI</v>
      </c>
      <c r="AA230" s="11" t="e">
        <f>MATCH(Tabla9[[#This Row],[AUX]],Loockup_ObrasGerencia[[#All],[aux]],0)</f>
        <v>#N/A</v>
      </c>
    </row>
    <row r="231" spans="1:27" x14ac:dyDescent="0.25">
      <c r="A231" s="30" t="s">
        <v>511</v>
      </c>
      <c r="B231" s="30" t="s">
        <v>510</v>
      </c>
      <c r="C231" s="30" t="s">
        <v>17</v>
      </c>
      <c r="D231" s="30" t="str" cm="1">
        <f t="array" ref="D231">UPPER(_xlfn.XLOOKUP(Loockup_ObrasGerencia[[#This Row],[OBRA_PRONTO]],Tabla7[[#All],[Obra]],Tabla7[[#All],[Gerente de obra]],"Sin Obra Asignada",0))</f>
        <v>BARONE ALBERTO</v>
      </c>
      <c r="E231" s="31" t="str">
        <f>Loockup_ObrasGerencia[[#This Row],[OBRA_PRONTO]]&amp;Loockup_ObrasGerencia[[#This Row],[GERENCIA]]</f>
        <v>00000231BARONE ALBERTO</v>
      </c>
      <c r="H231" t="s">
        <v>516</v>
      </c>
      <c r="I231" t="s">
        <v>517</v>
      </c>
      <c r="J231" t="s">
        <v>79</v>
      </c>
      <c r="K231" t="str">
        <f>Tabla7[[#This Row],[Obra]]&amp;Tabla7[[#This Row],[Gerente de obra]]</f>
        <v>00000234Francisco Di Lisio</v>
      </c>
      <c r="L231">
        <f>MATCH(Tabla7[[#This Row],[AUX]],Loockup_ObrasGerencia[[#All],[aux]],0)</f>
        <v>234</v>
      </c>
      <c r="O231" t="str">
        <f>UPPER(GERENCIAS[[#This Row],[Gerente de obra]])</f>
        <v>DIEGO IBAÑEZ</v>
      </c>
      <c r="R231" t="s">
        <v>546</v>
      </c>
      <c r="S231" t="s">
        <v>547</v>
      </c>
      <c r="T231" t="s">
        <v>30</v>
      </c>
      <c r="W231" s="8" t="s">
        <v>511</v>
      </c>
      <c r="X231" s="8" t="s">
        <v>510</v>
      </c>
      <c r="Y231" s="8" t="s">
        <v>17</v>
      </c>
      <c r="Z231" t="str">
        <f t="shared" si="3"/>
        <v>00000231SI</v>
      </c>
      <c r="AA231" s="11" t="e">
        <f>MATCH(Tabla9[[#This Row],[AUX]],Loockup_ObrasGerencia[[#All],[aux]],0)</f>
        <v>#N/A</v>
      </c>
    </row>
    <row r="232" spans="1:27" x14ac:dyDescent="0.25">
      <c r="A232" s="30" t="s">
        <v>513</v>
      </c>
      <c r="B232" s="30" t="s">
        <v>512</v>
      </c>
      <c r="C232" s="30" t="s">
        <v>17</v>
      </c>
      <c r="D232" s="30" t="str" cm="1">
        <f t="array" ref="D232">UPPER(_xlfn.XLOOKUP(Loockup_ObrasGerencia[[#This Row],[OBRA_PRONTO]],Tabla7[[#All],[Obra]],Tabla7[[#All],[Gerente de obra]],"Sin Obra Asignada",0))</f>
        <v>CATRIEL GISELA</v>
      </c>
      <c r="E232" s="31" t="str">
        <f>Loockup_ObrasGerencia[[#This Row],[OBRA_PRONTO]]&amp;Loockup_ObrasGerencia[[#This Row],[GERENCIA]]</f>
        <v>00000232CATRIEL GISELA</v>
      </c>
      <c r="H232" t="s">
        <v>518</v>
      </c>
      <c r="I232" t="s">
        <v>519</v>
      </c>
      <c r="J232" t="s">
        <v>397</v>
      </c>
      <c r="K232" t="str">
        <f>Tabla7[[#This Row],[Obra]]&amp;Tabla7[[#This Row],[Gerente de obra]]</f>
        <v>00000235Gonzalo Silva</v>
      </c>
      <c r="L232">
        <f>MATCH(Tabla7[[#This Row],[AUX]],Loockup_ObrasGerencia[[#All],[aux]],0)</f>
        <v>235</v>
      </c>
      <c r="O232" t="str">
        <f>UPPER(GERENCIAS[[#This Row],[Gerente de obra]])</f>
        <v>DIEGO IBAÑEZ</v>
      </c>
      <c r="R232" t="s">
        <v>548</v>
      </c>
      <c r="S232" t="s">
        <v>549</v>
      </c>
      <c r="T232" t="s">
        <v>30</v>
      </c>
      <c r="W232" s="8" t="s">
        <v>513</v>
      </c>
      <c r="X232" s="8" t="s">
        <v>512</v>
      </c>
      <c r="Y232" s="8" t="s">
        <v>17</v>
      </c>
      <c r="Z232" t="str">
        <f t="shared" si="3"/>
        <v>00000232SI</v>
      </c>
      <c r="AA232" s="11" t="e">
        <f>MATCH(Tabla9[[#This Row],[AUX]],Loockup_ObrasGerencia[[#All],[aux]],0)</f>
        <v>#N/A</v>
      </c>
    </row>
    <row r="233" spans="1:27" x14ac:dyDescent="0.25">
      <c r="A233" s="30" t="s">
        <v>515</v>
      </c>
      <c r="B233" s="30" t="s">
        <v>514</v>
      </c>
      <c r="C233" s="30" t="s">
        <v>17</v>
      </c>
      <c r="D233" s="30" t="str" cm="1">
        <f t="array" ref="D233">UPPER(_xlfn.XLOOKUP(Loockup_ObrasGerencia[[#This Row],[OBRA_PRONTO]],Tabla7[[#All],[Obra]],Tabla7[[#All],[Gerente de obra]],"Sin Obra Asignada",0))</f>
        <v>BARONE ALBERTO</v>
      </c>
      <c r="E233" s="31" t="str">
        <f>Loockup_ObrasGerencia[[#This Row],[OBRA_PRONTO]]&amp;Loockup_ObrasGerencia[[#This Row],[GERENCIA]]</f>
        <v>00000233BARONE ALBERTO</v>
      </c>
      <c r="H233" t="s">
        <v>520</v>
      </c>
      <c r="I233" t="s">
        <v>521</v>
      </c>
      <c r="J233" t="s">
        <v>29</v>
      </c>
      <c r="K233" t="str">
        <f>Tabla7[[#This Row],[Obra]]&amp;Tabla7[[#This Row],[Gerente de obra]]</f>
        <v>00000236Diego Ibañez</v>
      </c>
      <c r="L233">
        <f>MATCH(Tabla7[[#This Row],[AUX]],Loockup_ObrasGerencia[[#All],[aux]],0)</f>
        <v>236</v>
      </c>
      <c r="O233" t="str">
        <f>UPPER(GERENCIAS[[#This Row],[Gerente de obra]])</f>
        <v>DIEGO IBAÑEZ</v>
      </c>
      <c r="R233" t="s">
        <v>550</v>
      </c>
      <c r="S233" t="s">
        <v>551</v>
      </c>
      <c r="T233" t="s">
        <v>30</v>
      </c>
      <c r="W233" s="8" t="s">
        <v>515</v>
      </c>
      <c r="X233" s="8" t="s">
        <v>514</v>
      </c>
      <c r="Y233" s="8" t="s">
        <v>17</v>
      </c>
      <c r="Z233" t="str">
        <f t="shared" si="3"/>
        <v>00000233SI</v>
      </c>
      <c r="AA233" s="11" t="e">
        <f>MATCH(Tabla9[[#This Row],[AUX]],Loockup_ObrasGerencia[[#All],[aux]],0)</f>
        <v>#N/A</v>
      </c>
    </row>
    <row r="234" spans="1:27" x14ac:dyDescent="0.25">
      <c r="A234" s="30" t="s">
        <v>517</v>
      </c>
      <c r="B234" s="30" t="s">
        <v>516</v>
      </c>
      <c r="C234" s="30" t="s">
        <v>17</v>
      </c>
      <c r="D234" s="30" t="str" cm="1">
        <f t="array" ref="D234">UPPER(_xlfn.XLOOKUP(Loockup_ObrasGerencia[[#This Row],[OBRA_PRONTO]],Tabla7[[#All],[Obra]],Tabla7[[#All],[Gerente de obra]],"Sin Obra Asignada",0))</f>
        <v>FRANCISCO DI LISIO</v>
      </c>
      <c r="E234" s="31" t="str">
        <f>Loockup_ObrasGerencia[[#This Row],[OBRA_PRONTO]]&amp;Loockup_ObrasGerencia[[#This Row],[GERENCIA]]</f>
        <v>00000234FRANCISCO DI LISIO</v>
      </c>
      <c r="H234" t="s">
        <v>522</v>
      </c>
      <c r="I234" t="s">
        <v>523</v>
      </c>
      <c r="J234" t="s">
        <v>29</v>
      </c>
      <c r="K234" t="str">
        <f>Tabla7[[#This Row],[Obra]]&amp;Tabla7[[#This Row],[Gerente de obra]]</f>
        <v>00000237Diego Ibañez</v>
      </c>
      <c r="L234">
        <f>MATCH(Tabla7[[#This Row],[AUX]],Loockup_ObrasGerencia[[#All],[aux]],0)</f>
        <v>237</v>
      </c>
      <c r="O234" t="str">
        <f>UPPER(GERENCIAS[[#This Row],[Gerente de obra]])</f>
        <v>ORTIZ JUAN MANUEL</v>
      </c>
      <c r="R234" t="s">
        <v>552</v>
      </c>
      <c r="S234" t="s">
        <v>553</v>
      </c>
      <c r="T234" t="s">
        <v>19</v>
      </c>
      <c r="W234" s="8" t="s">
        <v>517</v>
      </c>
      <c r="X234" s="8" t="s">
        <v>516</v>
      </c>
      <c r="Y234" s="8" t="s">
        <v>17</v>
      </c>
      <c r="Z234" t="str">
        <f t="shared" si="3"/>
        <v>00000234SI</v>
      </c>
      <c r="AA234" s="11" t="e">
        <f>MATCH(Tabla9[[#This Row],[AUX]],Loockup_ObrasGerencia[[#All],[aux]],0)</f>
        <v>#N/A</v>
      </c>
    </row>
    <row r="235" spans="1:27" x14ac:dyDescent="0.25">
      <c r="A235" s="30" t="s">
        <v>519</v>
      </c>
      <c r="B235" s="30" t="s">
        <v>518</v>
      </c>
      <c r="C235" s="30" t="s">
        <v>17</v>
      </c>
      <c r="D235" s="30" t="str" cm="1">
        <f t="array" ref="D235">UPPER(_xlfn.XLOOKUP(Loockup_ObrasGerencia[[#This Row],[OBRA_PRONTO]],Tabla7[[#All],[Obra]],Tabla7[[#All],[Gerente de obra]],"Sin Obra Asignada",0))</f>
        <v>GONZALO SILVA</v>
      </c>
      <c r="E235" s="31" t="str">
        <f>Loockup_ObrasGerencia[[#This Row],[OBRA_PRONTO]]&amp;Loockup_ObrasGerencia[[#This Row],[GERENCIA]]</f>
        <v>00000235GONZALO SILVA</v>
      </c>
      <c r="H235" t="s">
        <v>524</v>
      </c>
      <c r="I235" t="s">
        <v>525</v>
      </c>
      <c r="J235" t="s">
        <v>191</v>
      </c>
      <c r="K235" t="str">
        <f>Tabla7[[#This Row],[Obra]]&amp;Tabla7[[#This Row],[Gerente de obra]]</f>
        <v>00000238Diego Aguirre</v>
      </c>
      <c r="L235">
        <f>MATCH(Tabla7[[#This Row],[AUX]],Loockup_ObrasGerencia[[#All],[aux]],0)</f>
        <v>238</v>
      </c>
      <c r="O235" t="str">
        <f>UPPER(GERENCIAS[[#This Row],[Gerente de obra]])</f>
        <v>CATRIEL GISELA</v>
      </c>
      <c r="R235" t="s">
        <v>554</v>
      </c>
      <c r="S235" t="s">
        <v>555</v>
      </c>
      <c r="T235" t="s">
        <v>243</v>
      </c>
      <c r="W235" s="8" t="s">
        <v>519</v>
      </c>
      <c r="X235" s="8" t="s">
        <v>518</v>
      </c>
      <c r="Y235" s="8" t="s">
        <v>17</v>
      </c>
      <c r="Z235" t="str">
        <f t="shared" si="3"/>
        <v>00000235SI</v>
      </c>
      <c r="AA235" s="11" t="e">
        <f>MATCH(Tabla9[[#This Row],[AUX]],Loockup_ObrasGerencia[[#All],[aux]],0)</f>
        <v>#N/A</v>
      </c>
    </row>
    <row r="236" spans="1:27" x14ac:dyDescent="0.25">
      <c r="A236" s="30" t="s">
        <v>521</v>
      </c>
      <c r="B236" s="30" t="s">
        <v>520</v>
      </c>
      <c r="C236" s="30" t="s">
        <v>28</v>
      </c>
      <c r="D236" s="30" t="str" cm="1">
        <f t="array" ref="D236">UPPER(_xlfn.XLOOKUP(Loockup_ObrasGerencia[[#This Row],[OBRA_PRONTO]],Tabla7[[#All],[Obra]],Tabla7[[#All],[Gerente de obra]],"Sin Obra Asignada",0))</f>
        <v>DIEGO IBAÑEZ</v>
      </c>
      <c r="E236" s="31" t="str">
        <f>Loockup_ObrasGerencia[[#This Row],[OBRA_PRONTO]]&amp;Loockup_ObrasGerencia[[#This Row],[GERENCIA]]</f>
        <v>00000236DIEGO IBAÑEZ</v>
      </c>
      <c r="H236" t="s">
        <v>526</v>
      </c>
      <c r="I236" t="s">
        <v>527</v>
      </c>
      <c r="J236" t="s">
        <v>79</v>
      </c>
      <c r="K236" t="str">
        <f>Tabla7[[#This Row],[Obra]]&amp;Tabla7[[#This Row],[Gerente de obra]]</f>
        <v>00000239Francisco Di Lisio</v>
      </c>
      <c r="L236">
        <f>MATCH(Tabla7[[#This Row],[AUX]],Loockup_ObrasGerencia[[#All],[aux]],0)</f>
        <v>239</v>
      </c>
      <c r="O236" t="str">
        <f>UPPER(GERENCIAS[[#This Row],[Gerente de obra]])</f>
        <v>ORTIZ JUAN MANUEL</v>
      </c>
      <c r="R236" t="s">
        <v>556</v>
      </c>
      <c r="S236" t="s">
        <v>557</v>
      </c>
      <c r="T236" t="s">
        <v>19</v>
      </c>
      <c r="W236" s="8" t="s">
        <v>521</v>
      </c>
      <c r="X236" s="8" t="s">
        <v>520</v>
      </c>
      <c r="Y236" s="8" t="s">
        <v>28</v>
      </c>
      <c r="Z236" t="str">
        <f t="shared" si="3"/>
        <v>00000236COMPENSABLE TALLER</v>
      </c>
      <c r="AA236" s="11" t="e">
        <f>MATCH(Tabla9[[#This Row],[AUX]],Loockup_ObrasGerencia[[#All],[aux]],0)</f>
        <v>#N/A</v>
      </c>
    </row>
    <row r="237" spans="1:27" x14ac:dyDescent="0.25">
      <c r="A237" s="30" t="s">
        <v>523</v>
      </c>
      <c r="B237" s="30" t="s">
        <v>522</v>
      </c>
      <c r="C237" s="30" t="s">
        <v>28</v>
      </c>
      <c r="D237" s="30" t="str" cm="1">
        <f t="array" ref="D237">UPPER(_xlfn.XLOOKUP(Loockup_ObrasGerencia[[#This Row],[OBRA_PRONTO]],Tabla7[[#All],[Obra]],Tabla7[[#All],[Gerente de obra]],"Sin Obra Asignada",0))</f>
        <v>DIEGO IBAÑEZ</v>
      </c>
      <c r="E237" s="31" t="str">
        <f>Loockup_ObrasGerencia[[#This Row],[OBRA_PRONTO]]&amp;Loockup_ObrasGerencia[[#This Row],[GERENCIA]]</f>
        <v>00000237DIEGO IBAÑEZ</v>
      </c>
      <c r="H237" t="s">
        <v>528</v>
      </c>
      <c r="I237" t="s">
        <v>529</v>
      </c>
      <c r="J237" t="s">
        <v>240</v>
      </c>
      <c r="K237" t="str">
        <f>Tabla7[[#This Row],[Obra]]&amp;Tabla7[[#This Row],[Gerente de obra]]</f>
        <v>00000240Fanjul Nicolás</v>
      </c>
      <c r="L237">
        <f>MATCH(Tabla7[[#This Row],[AUX]],Loockup_ObrasGerencia[[#All],[aux]],0)</f>
        <v>240</v>
      </c>
      <c r="O237" t="str">
        <f>UPPER(GERENCIAS[[#This Row],[Gerente de obra]])</f>
        <v>DIEGO IBAÑEZ</v>
      </c>
      <c r="R237" t="s">
        <v>558</v>
      </c>
      <c r="S237" t="s">
        <v>559</v>
      </c>
      <c r="T237" t="s">
        <v>30</v>
      </c>
      <c r="W237" s="8" t="s">
        <v>523</v>
      </c>
      <c r="X237" s="8" t="s">
        <v>522</v>
      </c>
      <c r="Y237" s="8" t="s">
        <v>28</v>
      </c>
      <c r="Z237" t="str">
        <f t="shared" si="3"/>
        <v>00000237COMPENSABLE TALLER</v>
      </c>
      <c r="AA237" s="11" t="e">
        <f>MATCH(Tabla9[[#This Row],[AUX]],Loockup_ObrasGerencia[[#All],[aux]],0)</f>
        <v>#N/A</v>
      </c>
    </row>
    <row r="238" spans="1:27" x14ac:dyDescent="0.25">
      <c r="A238" s="30" t="s">
        <v>525</v>
      </c>
      <c r="B238" s="30" t="s">
        <v>524</v>
      </c>
      <c r="C238" s="30" t="s">
        <v>239</v>
      </c>
      <c r="D238" s="30" t="str" cm="1">
        <f t="array" ref="D238">UPPER(_xlfn.XLOOKUP(Loockup_ObrasGerencia[[#This Row],[OBRA_PRONTO]],Tabla7[[#All],[Obra]],Tabla7[[#All],[Gerente de obra]],"Sin Obra Asignada",0))</f>
        <v>DIEGO AGUIRRE</v>
      </c>
      <c r="E238" s="31" t="str">
        <f>Loockup_ObrasGerencia[[#This Row],[OBRA_PRONTO]]&amp;Loockup_ObrasGerencia[[#This Row],[GERENCIA]]</f>
        <v>00000238DIEGO AGUIRRE</v>
      </c>
      <c r="H238" t="s">
        <v>530</v>
      </c>
      <c r="I238" t="s">
        <v>531</v>
      </c>
      <c r="J238" t="s">
        <v>69</v>
      </c>
      <c r="K238" t="str">
        <f>Tabla7[[#This Row],[Obra]]&amp;Tabla7[[#This Row],[Gerente de obra]]</f>
        <v>00000241Metzler Javier</v>
      </c>
      <c r="L238">
        <f>MATCH(Tabla7[[#This Row],[AUX]],Loockup_ObrasGerencia[[#All],[aux]],0)</f>
        <v>241</v>
      </c>
      <c r="O238" t="str">
        <f>UPPER(GERENCIAS[[#This Row],[Gerente de obra]])</f>
        <v>DIEGO IBAÑEZ</v>
      </c>
      <c r="R238" t="s">
        <v>560</v>
      </c>
      <c r="S238" t="s">
        <v>561</v>
      </c>
      <c r="T238" t="s">
        <v>30</v>
      </c>
      <c r="W238" s="8" t="s">
        <v>525</v>
      </c>
      <c r="X238" s="8" t="s">
        <v>524</v>
      </c>
      <c r="Y238" s="8" t="s">
        <v>239</v>
      </c>
      <c r="Z238" t="str">
        <f t="shared" si="3"/>
        <v>00000238COMPENSABLE CAC</v>
      </c>
      <c r="AA238" s="11" t="e">
        <f>MATCH(Tabla9[[#This Row],[AUX]],Loockup_ObrasGerencia[[#All],[aux]],0)</f>
        <v>#N/A</v>
      </c>
    </row>
    <row r="239" spans="1:27" x14ac:dyDescent="0.25">
      <c r="A239" s="30" t="s">
        <v>527</v>
      </c>
      <c r="B239" s="30" t="s">
        <v>526</v>
      </c>
      <c r="C239" s="30" t="s">
        <v>270</v>
      </c>
      <c r="D239" s="30" t="str" cm="1">
        <f t="array" ref="D239">UPPER(_xlfn.XLOOKUP(Loockup_ObrasGerencia[[#This Row],[OBRA_PRONTO]],Tabla7[[#All],[Obra]],Tabla7[[#All],[Gerente de obra]],"Sin Obra Asignada",0))</f>
        <v>FRANCISCO DI LISIO</v>
      </c>
      <c r="E239" s="31" t="str">
        <f>Loockup_ObrasGerencia[[#This Row],[OBRA_PRONTO]]&amp;Loockup_ObrasGerencia[[#This Row],[GERENCIA]]</f>
        <v>00000239FRANCISCO DI LISIO</v>
      </c>
      <c r="H239" t="s">
        <v>532</v>
      </c>
      <c r="I239" t="s">
        <v>533</v>
      </c>
      <c r="J239" t="s">
        <v>79</v>
      </c>
      <c r="K239" t="str">
        <f>Tabla7[[#This Row],[Obra]]&amp;Tabla7[[#This Row],[Gerente de obra]]</f>
        <v>00000242Francisco Di Lisio</v>
      </c>
      <c r="L239">
        <f>MATCH(Tabla7[[#This Row],[AUX]],Loockup_ObrasGerencia[[#All],[aux]],0)</f>
        <v>242</v>
      </c>
      <c r="O239" t="str">
        <f>UPPER(GERENCIAS[[#This Row],[Gerente de obra]])</f>
        <v>ORTIZ JUAN MANUEL</v>
      </c>
      <c r="R239" t="s">
        <v>562</v>
      </c>
      <c r="S239" t="s">
        <v>563</v>
      </c>
      <c r="T239" t="s">
        <v>19</v>
      </c>
      <c r="W239" s="8" t="s">
        <v>527</v>
      </c>
      <c r="X239" s="8" t="s">
        <v>526</v>
      </c>
      <c r="Y239" s="8" t="s">
        <v>270</v>
      </c>
      <c r="Z239" t="str">
        <f t="shared" si="3"/>
        <v>00000239ACTIVOS</v>
      </c>
      <c r="AA239" s="11" t="e">
        <f>MATCH(Tabla9[[#This Row],[AUX]],Loockup_ObrasGerencia[[#All],[aux]],0)</f>
        <v>#N/A</v>
      </c>
    </row>
    <row r="240" spans="1:27" x14ac:dyDescent="0.25">
      <c r="A240" s="30" t="s">
        <v>529</v>
      </c>
      <c r="B240" s="30" t="s">
        <v>528</v>
      </c>
      <c r="C240" s="30" t="s">
        <v>246</v>
      </c>
      <c r="D240" s="30" t="str" cm="1">
        <f t="array" ref="D240">UPPER(_xlfn.XLOOKUP(Loockup_ObrasGerencia[[#This Row],[OBRA_PRONTO]],Tabla7[[#All],[Obra]],Tabla7[[#All],[Gerente de obra]],"Sin Obra Asignada",0))</f>
        <v>FANJUL NICOLÁS</v>
      </c>
      <c r="E240" s="31" t="str">
        <f>Loockup_ObrasGerencia[[#This Row],[OBRA_PRONTO]]&amp;Loockup_ObrasGerencia[[#This Row],[GERENCIA]]</f>
        <v>00000240FANJUL NICOLÁS</v>
      </c>
      <c r="H240" t="s">
        <v>534</v>
      </c>
      <c r="I240" t="s">
        <v>535</v>
      </c>
      <c r="J240" t="s">
        <v>18</v>
      </c>
      <c r="K240" t="str">
        <f>Tabla7[[#This Row],[Obra]]&amp;Tabla7[[#This Row],[Gerente de obra]]</f>
        <v>00000243Ortiz Juan Manuel</v>
      </c>
      <c r="L240">
        <f>MATCH(Tabla7[[#This Row],[AUX]],Loockup_ObrasGerencia[[#All],[aux]],0)</f>
        <v>243</v>
      </c>
      <c r="O240" t="str">
        <f>UPPER(GERENCIAS[[#This Row],[Gerente de obra]])</f>
        <v>FRANCISCO DI LISIO</v>
      </c>
      <c r="R240" t="s">
        <v>564</v>
      </c>
      <c r="S240" t="s">
        <v>565</v>
      </c>
      <c r="T240" t="s">
        <v>78</v>
      </c>
      <c r="W240" s="8" t="s">
        <v>529</v>
      </c>
      <c r="X240" s="8" t="s">
        <v>528</v>
      </c>
      <c r="Y240" s="8" t="s">
        <v>246</v>
      </c>
      <c r="Z240" t="str">
        <f t="shared" si="3"/>
        <v>00000240COMPENSABLE SYGSA</v>
      </c>
      <c r="AA240" s="11" t="e">
        <f>MATCH(Tabla9[[#This Row],[AUX]],Loockup_ObrasGerencia[[#All],[aux]],0)</f>
        <v>#N/A</v>
      </c>
    </row>
    <row r="241" spans="1:27" x14ac:dyDescent="0.25">
      <c r="A241" s="30" t="s">
        <v>531</v>
      </c>
      <c r="B241" s="30" t="s">
        <v>530</v>
      </c>
      <c r="C241" s="30" t="s">
        <v>17</v>
      </c>
      <c r="D241" s="30" t="str" cm="1">
        <f t="array" ref="D241">UPPER(_xlfn.XLOOKUP(Loockup_ObrasGerencia[[#This Row],[OBRA_PRONTO]],Tabla7[[#All],[Obra]],Tabla7[[#All],[Gerente de obra]],"Sin Obra Asignada",0))</f>
        <v>METZLER JAVIER</v>
      </c>
      <c r="E241" s="31" t="str">
        <f>Loockup_ObrasGerencia[[#This Row],[OBRA_PRONTO]]&amp;Loockup_ObrasGerencia[[#This Row],[GERENCIA]]</f>
        <v>00000241METZLER JAVIER</v>
      </c>
      <c r="H241" t="s">
        <v>536</v>
      </c>
      <c r="I241" t="s">
        <v>537</v>
      </c>
      <c r="J241" t="s">
        <v>271</v>
      </c>
      <c r="K241" t="str">
        <f>Tabla7[[#This Row],[Obra]]&amp;Tabla7[[#This Row],[Gerente de obra]]</f>
        <v>00000244Catriel Gisela</v>
      </c>
      <c r="L241">
        <f>MATCH(Tabla7[[#This Row],[AUX]],Loockup_ObrasGerencia[[#All],[aux]],0)</f>
        <v>244</v>
      </c>
      <c r="O241" t="str">
        <f>UPPER(GERENCIAS[[#This Row],[Gerente de obra]])</f>
        <v>ORTIZ JUAN MANUEL</v>
      </c>
      <c r="R241" t="s">
        <v>566</v>
      </c>
      <c r="S241" t="s">
        <v>567</v>
      </c>
      <c r="T241" t="s">
        <v>19</v>
      </c>
      <c r="W241" s="8" t="s">
        <v>531</v>
      </c>
      <c r="X241" s="8" t="s">
        <v>530</v>
      </c>
      <c r="Y241" s="8" t="s">
        <v>17</v>
      </c>
      <c r="Z241" t="str">
        <f t="shared" si="3"/>
        <v>00000241SI</v>
      </c>
      <c r="AA241" s="11" t="e">
        <f>MATCH(Tabla9[[#This Row],[AUX]],Loockup_ObrasGerencia[[#All],[aux]],0)</f>
        <v>#N/A</v>
      </c>
    </row>
    <row r="242" spans="1:27" x14ac:dyDescent="0.25">
      <c r="A242" s="30" t="s">
        <v>533</v>
      </c>
      <c r="B242" s="30" t="s">
        <v>532</v>
      </c>
      <c r="C242" s="30" t="s">
        <v>270</v>
      </c>
      <c r="D242" s="30" t="str" cm="1">
        <f t="array" ref="D242">UPPER(_xlfn.XLOOKUP(Loockup_ObrasGerencia[[#This Row],[OBRA_PRONTO]],Tabla7[[#All],[Obra]],Tabla7[[#All],[Gerente de obra]],"Sin Obra Asignada",0))</f>
        <v>FRANCISCO DI LISIO</v>
      </c>
      <c r="E242" s="31" t="str">
        <f>Loockup_ObrasGerencia[[#This Row],[OBRA_PRONTO]]&amp;Loockup_ObrasGerencia[[#This Row],[GERENCIA]]</f>
        <v>00000242FRANCISCO DI LISIO</v>
      </c>
      <c r="H242" t="s">
        <v>538</v>
      </c>
      <c r="I242" t="s">
        <v>539</v>
      </c>
      <c r="J242" t="s">
        <v>18</v>
      </c>
      <c r="K242" t="str">
        <f>Tabla7[[#This Row],[Obra]]&amp;Tabla7[[#This Row],[Gerente de obra]]</f>
        <v>00000245Ortiz Juan Manuel</v>
      </c>
      <c r="L242">
        <f>MATCH(Tabla7[[#This Row],[AUX]],Loockup_ObrasGerencia[[#All],[aux]],0)</f>
        <v>245</v>
      </c>
      <c r="O242" t="str">
        <f>UPPER(GERENCIAS[[#This Row],[Gerente de obra]])</f>
        <v>DIEGO IBAÑEZ</v>
      </c>
      <c r="R242" t="s">
        <v>568</v>
      </c>
      <c r="S242" t="s">
        <v>569</v>
      </c>
      <c r="T242" t="s">
        <v>30</v>
      </c>
      <c r="W242" s="8" t="s">
        <v>533</v>
      </c>
      <c r="X242" s="8" t="s">
        <v>532</v>
      </c>
      <c r="Y242" s="8" t="s">
        <v>270</v>
      </c>
      <c r="Z242" t="str">
        <f t="shared" si="3"/>
        <v>00000242ACTIVOS</v>
      </c>
      <c r="AA242" s="11" t="e">
        <f>MATCH(Tabla9[[#This Row],[AUX]],Loockup_ObrasGerencia[[#All],[aux]],0)</f>
        <v>#N/A</v>
      </c>
    </row>
    <row r="243" spans="1:27" x14ac:dyDescent="0.25">
      <c r="A243" s="30" t="s">
        <v>535</v>
      </c>
      <c r="B243" s="30" t="s">
        <v>534</v>
      </c>
      <c r="C243" s="30" t="s">
        <v>17</v>
      </c>
      <c r="D243" s="30" t="str" cm="1">
        <f t="array" ref="D243">UPPER(_xlfn.XLOOKUP(Loockup_ObrasGerencia[[#This Row],[OBRA_PRONTO]],Tabla7[[#All],[Obra]],Tabla7[[#All],[Gerente de obra]],"Sin Obra Asignada",0))</f>
        <v>ORTIZ JUAN MANUEL</v>
      </c>
      <c r="E243" s="31" t="str">
        <f>Loockup_ObrasGerencia[[#This Row],[OBRA_PRONTO]]&amp;Loockup_ObrasGerencia[[#This Row],[GERENCIA]]</f>
        <v>00000243ORTIZ JUAN MANUEL</v>
      </c>
      <c r="H243" t="s">
        <v>540</v>
      </c>
      <c r="I243" t="s">
        <v>541</v>
      </c>
      <c r="J243" t="s">
        <v>141</v>
      </c>
      <c r="K243" t="str">
        <f>Tabla7[[#This Row],[Obra]]&amp;Tabla7[[#This Row],[Gerente de obra]]</f>
        <v>00000246Barone Alberto</v>
      </c>
      <c r="L243">
        <f>MATCH(Tabla7[[#This Row],[AUX]],Loockup_ObrasGerencia[[#All],[aux]],0)</f>
        <v>246</v>
      </c>
      <c r="O243" t="str">
        <f>UPPER(GERENCIAS[[#This Row],[Gerente de obra]])</f>
        <v>FRANCISCO DI LISIO</v>
      </c>
      <c r="R243" t="s">
        <v>570</v>
      </c>
      <c r="S243" t="s">
        <v>571</v>
      </c>
      <c r="T243" t="s">
        <v>78</v>
      </c>
      <c r="W243" s="8" t="s">
        <v>535</v>
      </c>
      <c r="X243" s="8" t="s">
        <v>534</v>
      </c>
      <c r="Y243" s="8" t="s">
        <v>17</v>
      </c>
      <c r="Z243" t="str">
        <f t="shared" si="3"/>
        <v>00000243SI</v>
      </c>
      <c r="AA243" s="11" t="e">
        <f>MATCH(Tabla9[[#This Row],[AUX]],Loockup_ObrasGerencia[[#All],[aux]],0)</f>
        <v>#N/A</v>
      </c>
    </row>
    <row r="244" spans="1:27" x14ac:dyDescent="0.25">
      <c r="A244" s="30" t="s">
        <v>537</v>
      </c>
      <c r="B244" s="30" t="s">
        <v>536</v>
      </c>
      <c r="C244" s="30" t="s">
        <v>17</v>
      </c>
      <c r="D244" s="30" t="str" cm="1">
        <f t="array" ref="D244">UPPER(_xlfn.XLOOKUP(Loockup_ObrasGerencia[[#This Row],[OBRA_PRONTO]],Tabla7[[#All],[Obra]],Tabla7[[#All],[Gerente de obra]],"Sin Obra Asignada",0))</f>
        <v>CATRIEL GISELA</v>
      </c>
      <c r="E244" s="31" t="str">
        <f>Loockup_ObrasGerencia[[#This Row],[OBRA_PRONTO]]&amp;Loockup_ObrasGerencia[[#This Row],[GERENCIA]]</f>
        <v>00000244CATRIEL GISELA</v>
      </c>
      <c r="H244" t="s">
        <v>542</v>
      </c>
      <c r="I244" t="s">
        <v>543</v>
      </c>
      <c r="J244" t="s">
        <v>18</v>
      </c>
      <c r="K244" t="str">
        <f>Tabla7[[#This Row],[Obra]]&amp;Tabla7[[#This Row],[Gerente de obra]]</f>
        <v>00000247Ortiz Juan Manuel</v>
      </c>
      <c r="L244">
        <f>MATCH(Tabla7[[#This Row],[AUX]],Loockup_ObrasGerencia[[#All],[aux]],0)</f>
        <v>247</v>
      </c>
      <c r="O244" t="str">
        <f>UPPER(GERENCIAS[[#This Row],[Gerente de obra]])</f>
        <v>TRUJILLO</v>
      </c>
      <c r="R244" t="s">
        <v>572</v>
      </c>
      <c r="S244" t="s">
        <v>573</v>
      </c>
      <c r="T244" t="s">
        <v>25</v>
      </c>
      <c r="W244" s="8" t="s">
        <v>537</v>
      </c>
      <c r="X244" s="8" t="s">
        <v>536</v>
      </c>
      <c r="Y244" s="8" t="s">
        <v>17</v>
      </c>
      <c r="Z244" t="str">
        <f t="shared" si="3"/>
        <v>00000244SI</v>
      </c>
      <c r="AA244" s="11" t="e">
        <f>MATCH(Tabla9[[#This Row],[AUX]],Loockup_ObrasGerencia[[#All],[aux]],0)</f>
        <v>#N/A</v>
      </c>
    </row>
    <row r="245" spans="1:27" x14ac:dyDescent="0.25">
      <c r="A245" s="30" t="s">
        <v>539</v>
      </c>
      <c r="B245" s="30" t="s">
        <v>538</v>
      </c>
      <c r="C245" s="30" t="s">
        <v>17</v>
      </c>
      <c r="D245" s="30" t="str" cm="1">
        <f t="array" ref="D245">UPPER(_xlfn.XLOOKUP(Loockup_ObrasGerencia[[#This Row],[OBRA_PRONTO]],Tabla7[[#All],[Obra]],Tabla7[[#All],[Gerente de obra]],"Sin Obra Asignada",0))</f>
        <v>ORTIZ JUAN MANUEL</v>
      </c>
      <c r="E245" s="31" t="str">
        <f>Loockup_ObrasGerencia[[#This Row],[OBRA_PRONTO]]&amp;Loockup_ObrasGerencia[[#This Row],[GERENCIA]]</f>
        <v>00000245ORTIZ JUAN MANUEL</v>
      </c>
      <c r="H245" t="s">
        <v>544</v>
      </c>
      <c r="I245" t="s">
        <v>545</v>
      </c>
      <c r="J245" t="s">
        <v>29</v>
      </c>
      <c r="K245" t="str">
        <f>Tabla7[[#This Row],[Obra]]&amp;Tabla7[[#This Row],[Gerente de obra]]</f>
        <v>00000248Diego Ibañez</v>
      </c>
      <c r="L245">
        <f>MATCH(Tabla7[[#This Row],[AUX]],Loockup_ObrasGerencia[[#All],[aux]],0)</f>
        <v>248</v>
      </c>
      <c r="O245" t="str">
        <f>UPPER(GERENCIAS[[#This Row],[Gerente de obra]])</f>
        <v>TRUJILLO</v>
      </c>
      <c r="R245" t="s">
        <v>574</v>
      </c>
      <c r="S245" t="s">
        <v>575</v>
      </c>
      <c r="T245" t="s">
        <v>25</v>
      </c>
      <c r="W245" s="8" t="s">
        <v>539</v>
      </c>
      <c r="X245" s="8" t="s">
        <v>538</v>
      </c>
      <c r="Y245" s="8" t="s">
        <v>17</v>
      </c>
      <c r="Z245" t="str">
        <f t="shared" si="3"/>
        <v>00000245SI</v>
      </c>
      <c r="AA245" s="11" t="e">
        <f>MATCH(Tabla9[[#This Row],[AUX]],Loockup_ObrasGerencia[[#All],[aux]],0)</f>
        <v>#N/A</v>
      </c>
    </row>
    <row r="246" spans="1:27" x14ac:dyDescent="0.25">
      <c r="A246" s="30" t="s">
        <v>541</v>
      </c>
      <c r="B246" s="30" t="s">
        <v>540</v>
      </c>
      <c r="C246" s="30" t="s">
        <v>17</v>
      </c>
      <c r="D246" s="30" t="str" cm="1">
        <f t="array" ref="D246">UPPER(_xlfn.XLOOKUP(Loockup_ObrasGerencia[[#This Row],[OBRA_PRONTO]],Tabla7[[#All],[Obra]],Tabla7[[#All],[Gerente de obra]],"Sin Obra Asignada",0))</f>
        <v>BARONE ALBERTO</v>
      </c>
      <c r="E246" s="31" t="str">
        <f>Loockup_ObrasGerencia[[#This Row],[OBRA_PRONTO]]&amp;Loockup_ObrasGerencia[[#This Row],[GERENCIA]]</f>
        <v>00000246BARONE ALBERTO</v>
      </c>
      <c r="H246" t="s">
        <v>546</v>
      </c>
      <c r="I246" t="s">
        <v>547</v>
      </c>
      <c r="J246" t="s">
        <v>29</v>
      </c>
      <c r="K246" t="str">
        <f>Tabla7[[#This Row],[Obra]]&amp;Tabla7[[#This Row],[Gerente de obra]]</f>
        <v>00000249Diego Ibañez</v>
      </c>
      <c r="L246">
        <f>MATCH(Tabla7[[#This Row],[AUX]],Loockup_ObrasGerencia[[#All],[aux]],0)</f>
        <v>249</v>
      </c>
      <c r="O246" t="str">
        <f>UPPER(GERENCIAS[[#This Row],[Gerente de obra]])</f>
        <v>TRUJILLO</v>
      </c>
      <c r="R246" t="s">
        <v>576</v>
      </c>
      <c r="S246" t="s">
        <v>577</v>
      </c>
      <c r="T246" t="s">
        <v>25</v>
      </c>
      <c r="W246" s="8" t="s">
        <v>541</v>
      </c>
      <c r="X246" s="8" t="s">
        <v>540</v>
      </c>
      <c r="Y246" s="8" t="s">
        <v>17</v>
      </c>
      <c r="Z246" t="str">
        <f t="shared" si="3"/>
        <v>00000246SI</v>
      </c>
      <c r="AA246" s="11" t="e">
        <f>MATCH(Tabla9[[#This Row],[AUX]],Loockup_ObrasGerencia[[#All],[aux]],0)</f>
        <v>#N/A</v>
      </c>
    </row>
    <row r="247" spans="1:27" x14ac:dyDescent="0.25">
      <c r="A247" s="30" t="s">
        <v>543</v>
      </c>
      <c r="B247" s="30" t="s">
        <v>542</v>
      </c>
      <c r="C247" s="30" t="s">
        <v>17</v>
      </c>
      <c r="D247" s="30" t="str" cm="1">
        <f t="array" ref="D247">UPPER(_xlfn.XLOOKUP(Loockup_ObrasGerencia[[#This Row],[OBRA_PRONTO]],Tabla7[[#All],[Obra]],Tabla7[[#All],[Gerente de obra]],"Sin Obra Asignada",0))</f>
        <v>ORTIZ JUAN MANUEL</v>
      </c>
      <c r="E247" s="31" t="str">
        <f>Loockup_ObrasGerencia[[#This Row],[OBRA_PRONTO]]&amp;Loockup_ObrasGerencia[[#This Row],[GERENCIA]]</f>
        <v>00000247ORTIZ JUAN MANUEL</v>
      </c>
      <c r="H247" t="s">
        <v>548</v>
      </c>
      <c r="I247" t="s">
        <v>549</v>
      </c>
      <c r="J247" t="s">
        <v>29</v>
      </c>
      <c r="K247" t="str">
        <f>Tabla7[[#This Row],[Obra]]&amp;Tabla7[[#This Row],[Gerente de obra]]</f>
        <v>00000250Diego Ibañez</v>
      </c>
      <c r="L247">
        <f>MATCH(Tabla7[[#This Row],[AUX]],Loockup_ObrasGerencia[[#All],[aux]],0)</f>
        <v>250</v>
      </c>
      <c r="O247" t="str">
        <f>UPPER(GERENCIAS[[#This Row],[Gerente de obra]])</f>
        <v>ORTIZ JUAN MANUEL</v>
      </c>
      <c r="R247" t="s">
        <v>578</v>
      </c>
      <c r="S247" t="s">
        <v>579</v>
      </c>
      <c r="T247" t="s">
        <v>19</v>
      </c>
      <c r="W247" s="8" t="s">
        <v>543</v>
      </c>
      <c r="X247" s="8" t="s">
        <v>542</v>
      </c>
      <c r="Y247" s="8" t="s">
        <v>17</v>
      </c>
      <c r="Z247" t="str">
        <f t="shared" si="3"/>
        <v>00000247SI</v>
      </c>
      <c r="AA247" s="11" t="e">
        <f>MATCH(Tabla9[[#This Row],[AUX]],Loockup_ObrasGerencia[[#All],[aux]],0)</f>
        <v>#N/A</v>
      </c>
    </row>
    <row r="248" spans="1:27" x14ac:dyDescent="0.25">
      <c r="A248" s="30" t="s">
        <v>545</v>
      </c>
      <c r="B248" s="30" t="s">
        <v>544</v>
      </c>
      <c r="C248" s="30" t="s">
        <v>28</v>
      </c>
      <c r="D248" s="30" t="str" cm="1">
        <f t="array" ref="D248">UPPER(_xlfn.XLOOKUP(Loockup_ObrasGerencia[[#This Row],[OBRA_PRONTO]],Tabla7[[#All],[Obra]],Tabla7[[#All],[Gerente de obra]],"Sin Obra Asignada",0))</f>
        <v>DIEGO IBAÑEZ</v>
      </c>
      <c r="E248" s="31" t="str">
        <f>Loockup_ObrasGerencia[[#This Row],[OBRA_PRONTO]]&amp;Loockup_ObrasGerencia[[#This Row],[GERENCIA]]</f>
        <v>00000248DIEGO IBAÑEZ</v>
      </c>
      <c r="H248" t="s">
        <v>550</v>
      </c>
      <c r="I248" t="s">
        <v>551</v>
      </c>
      <c r="J248" t="s">
        <v>29</v>
      </c>
      <c r="K248" t="str">
        <f>Tabla7[[#This Row],[Obra]]&amp;Tabla7[[#This Row],[Gerente de obra]]</f>
        <v>00000251Diego Ibañez</v>
      </c>
      <c r="L248">
        <f>MATCH(Tabla7[[#This Row],[AUX]],Loockup_ObrasGerencia[[#All],[aux]],0)</f>
        <v>251</v>
      </c>
      <c r="O248" t="str">
        <f>UPPER(GERENCIAS[[#This Row],[Gerente de obra]])</f>
        <v>ORTIZ JUAN MANUEL</v>
      </c>
      <c r="R248" t="s">
        <v>580</v>
      </c>
      <c r="S248" t="s">
        <v>581</v>
      </c>
      <c r="T248" t="s">
        <v>19</v>
      </c>
      <c r="W248" s="8" t="s">
        <v>545</v>
      </c>
      <c r="X248" s="8" t="s">
        <v>544</v>
      </c>
      <c r="Y248" s="8" t="s">
        <v>28</v>
      </c>
      <c r="Z248" t="str">
        <f t="shared" si="3"/>
        <v>00000248COMPENSABLE TALLER</v>
      </c>
      <c r="AA248" s="11" t="e">
        <f>MATCH(Tabla9[[#This Row],[AUX]],Loockup_ObrasGerencia[[#All],[aux]],0)</f>
        <v>#N/A</v>
      </c>
    </row>
    <row r="249" spans="1:27" x14ac:dyDescent="0.25">
      <c r="A249" s="30" t="s">
        <v>547</v>
      </c>
      <c r="B249" s="30" t="s">
        <v>546</v>
      </c>
      <c r="C249" s="30" t="s">
        <v>28</v>
      </c>
      <c r="D249" s="30" t="str" cm="1">
        <f t="array" ref="D249">UPPER(_xlfn.XLOOKUP(Loockup_ObrasGerencia[[#This Row],[OBRA_PRONTO]],Tabla7[[#All],[Obra]],Tabla7[[#All],[Gerente de obra]],"Sin Obra Asignada",0))</f>
        <v>DIEGO IBAÑEZ</v>
      </c>
      <c r="E249" s="31" t="str">
        <f>Loockup_ObrasGerencia[[#This Row],[OBRA_PRONTO]]&amp;Loockup_ObrasGerencia[[#This Row],[GERENCIA]]</f>
        <v>00000249DIEGO IBAÑEZ</v>
      </c>
      <c r="H249" t="s">
        <v>552</v>
      </c>
      <c r="I249" t="s">
        <v>553</v>
      </c>
      <c r="J249" t="s">
        <v>18</v>
      </c>
      <c r="K249" t="str">
        <f>Tabla7[[#This Row],[Obra]]&amp;Tabla7[[#This Row],[Gerente de obra]]</f>
        <v>00000252Ortiz Juan Manuel</v>
      </c>
      <c r="L249">
        <f>MATCH(Tabla7[[#This Row],[AUX]],Loockup_ObrasGerencia[[#All],[aux]],0)</f>
        <v>252</v>
      </c>
      <c r="O249" t="str">
        <f>UPPER(GERENCIAS[[#This Row],[Gerente de obra]])</f>
        <v>GONZALO SILVA</v>
      </c>
      <c r="R249" t="s">
        <v>582</v>
      </c>
      <c r="S249" t="s">
        <v>583</v>
      </c>
      <c r="T249" t="s">
        <v>368</v>
      </c>
      <c r="W249" s="8" t="s">
        <v>547</v>
      </c>
      <c r="X249" s="8" t="s">
        <v>546</v>
      </c>
      <c r="Y249" s="8" t="s">
        <v>28</v>
      </c>
      <c r="Z249" t="str">
        <f t="shared" si="3"/>
        <v>00000249COMPENSABLE TALLER</v>
      </c>
      <c r="AA249" s="11" t="e">
        <f>MATCH(Tabla9[[#This Row],[AUX]],Loockup_ObrasGerencia[[#All],[aux]],0)</f>
        <v>#N/A</v>
      </c>
    </row>
    <row r="250" spans="1:27" x14ac:dyDescent="0.25">
      <c r="A250" s="30" t="s">
        <v>549</v>
      </c>
      <c r="B250" s="30" t="s">
        <v>548</v>
      </c>
      <c r="C250" s="30" t="s">
        <v>28</v>
      </c>
      <c r="D250" s="30" t="str" cm="1">
        <f t="array" ref="D250">UPPER(_xlfn.XLOOKUP(Loockup_ObrasGerencia[[#This Row],[OBRA_PRONTO]],Tabla7[[#All],[Obra]],Tabla7[[#All],[Gerente de obra]],"Sin Obra Asignada",0))</f>
        <v>DIEGO IBAÑEZ</v>
      </c>
      <c r="E250" s="31" t="str">
        <f>Loockup_ObrasGerencia[[#This Row],[OBRA_PRONTO]]&amp;Loockup_ObrasGerencia[[#This Row],[GERENCIA]]</f>
        <v>00000250DIEGO IBAÑEZ</v>
      </c>
      <c r="H250" t="s">
        <v>554</v>
      </c>
      <c r="I250" t="s">
        <v>555</v>
      </c>
      <c r="J250" t="s">
        <v>271</v>
      </c>
      <c r="K250" t="str">
        <f>Tabla7[[#This Row],[Obra]]&amp;Tabla7[[#This Row],[Gerente de obra]]</f>
        <v>00000253Catriel Gisela</v>
      </c>
      <c r="L250">
        <f>MATCH(Tabla7[[#This Row],[AUX]],Loockup_ObrasGerencia[[#All],[aux]],0)</f>
        <v>253</v>
      </c>
      <c r="O250" t="str">
        <f>UPPER(GERENCIAS[[#This Row],[Gerente de obra]])</f>
        <v>FRANCISCO DI LISIO</v>
      </c>
      <c r="R250" t="s">
        <v>584</v>
      </c>
      <c r="S250" t="s">
        <v>585</v>
      </c>
      <c r="T250" t="s">
        <v>78</v>
      </c>
      <c r="W250" s="8" t="s">
        <v>549</v>
      </c>
      <c r="X250" s="8" t="s">
        <v>548</v>
      </c>
      <c r="Y250" s="8" t="s">
        <v>28</v>
      </c>
      <c r="Z250" t="str">
        <f t="shared" si="3"/>
        <v>00000250COMPENSABLE TALLER</v>
      </c>
      <c r="AA250" s="11" t="e">
        <f>MATCH(Tabla9[[#This Row],[AUX]],Loockup_ObrasGerencia[[#All],[aux]],0)</f>
        <v>#N/A</v>
      </c>
    </row>
    <row r="251" spans="1:27" x14ac:dyDescent="0.25">
      <c r="A251" s="30" t="s">
        <v>551</v>
      </c>
      <c r="B251" s="30" t="s">
        <v>550</v>
      </c>
      <c r="C251" s="30" t="s">
        <v>28</v>
      </c>
      <c r="D251" s="30" t="str" cm="1">
        <f t="array" ref="D251">UPPER(_xlfn.XLOOKUP(Loockup_ObrasGerencia[[#This Row],[OBRA_PRONTO]],Tabla7[[#All],[Obra]],Tabla7[[#All],[Gerente de obra]],"Sin Obra Asignada",0))</f>
        <v>DIEGO IBAÑEZ</v>
      </c>
      <c r="E251" s="31" t="str">
        <f>Loockup_ObrasGerencia[[#This Row],[OBRA_PRONTO]]&amp;Loockup_ObrasGerencia[[#This Row],[GERENCIA]]</f>
        <v>00000251DIEGO IBAÑEZ</v>
      </c>
      <c r="H251" t="s">
        <v>556</v>
      </c>
      <c r="I251" t="s">
        <v>557</v>
      </c>
      <c r="J251" t="s">
        <v>18</v>
      </c>
      <c r="K251" t="str">
        <f>Tabla7[[#This Row],[Obra]]&amp;Tabla7[[#This Row],[Gerente de obra]]</f>
        <v>00000254Ortiz Juan Manuel</v>
      </c>
      <c r="L251">
        <f>MATCH(Tabla7[[#This Row],[AUX]],Loockup_ObrasGerencia[[#All],[aux]],0)</f>
        <v>254</v>
      </c>
      <c r="O251" t="str">
        <f>UPPER(GERENCIAS[[#This Row],[Gerente de obra]])</f>
        <v>CATRIEL GISELA</v>
      </c>
      <c r="R251" t="s">
        <v>586</v>
      </c>
      <c r="S251" t="s">
        <v>587</v>
      </c>
      <c r="T251" t="s">
        <v>243</v>
      </c>
      <c r="W251" s="8" t="s">
        <v>551</v>
      </c>
      <c r="X251" s="8" t="s">
        <v>550</v>
      </c>
      <c r="Y251" s="8" t="s">
        <v>28</v>
      </c>
      <c r="Z251" t="str">
        <f t="shared" si="3"/>
        <v>00000251COMPENSABLE TALLER</v>
      </c>
      <c r="AA251" s="11" t="e">
        <f>MATCH(Tabla9[[#This Row],[AUX]],Loockup_ObrasGerencia[[#All],[aux]],0)</f>
        <v>#N/A</v>
      </c>
    </row>
    <row r="252" spans="1:27" x14ac:dyDescent="0.25">
      <c r="A252" s="30" t="s">
        <v>553</v>
      </c>
      <c r="B252" s="30" t="s">
        <v>552</v>
      </c>
      <c r="C252" s="30" t="s">
        <v>17</v>
      </c>
      <c r="D252" s="30" t="str" cm="1">
        <f t="array" ref="D252">UPPER(_xlfn.XLOOKUP(Loockup_ObrasGerencia[[#This Row],[OBRA_PRONTO]],Tabla7[[#All],[Obra]],Tabla7[[#All],[Gerente de obra]],"Sin Obra Asignada",0))</f>
        <v>ORTIZ JUAN MANUEL</v>
      </c>
      <c r="E252" s="31" t="str">
        <f>Loockup_ObrasGerencia[[#This Row],[OBRA_PRONTO]]&amp;Loockup_ObrasGerencia[[#This Row],[GERENCIA]]</f>
        <v>00000252ORTIZ JUAN MANUEL</v>
      </c>
      <c r="H252" t="s">
        <v>558</v>
      </c>
      <c r="I252" t="s">
        <v>559</v>
      </c>
      <c r="J252" t="s">
        <v>29</v>
      </c>
      <c r="K252" t="str">
        <f>Tabla7[[#This Row],[Obra]]&amp;Tabla7[[#This Row],[Gerente de obra]]</f>
        <v>00000255Diego Ibañez</v>
      </c>
      <c r="L252">
        <f>MATCH(Tabla7[[#This Row],[AUX]],Loockup_ObrasGerencia[[#All],[aux]],0)</f>
        <v>255</v>
      </c>
      <c r="O252" t="str">
        <f>UPPER(GERENCIAS[[#This Row],[Gerente de obra]])</f>
        <v>ORTIZ JUAN MANUEL</v>
      </c>
      <c r="R252" t="s">
        <v>588</v>
      </c>
      <c r="S252" t="s">
        <v>589</v>
      </c>
      <c r="T252" t="s">
        <v>19</v>
      </c>
      <c r="W252" s="8" t="s">
        <v>553</v>
      </c>
      <c r="X252" s="8" t="s">
        <v>552</v>
      </c>
      <c r="Y252" s="8" t="s">
        <v>17</v>
      </c>
      <c r="Z252" t="str">
        <f t="shared" si="3"/>
        <v>00000252SI</v>
      </c>
      <c r="AA252" s="11" t="e">
        <f>MATCH(Tabla9[[#This Row],[AUX]],Loockup_ObrasGerencia[[#All],[aux]],0)</f>
        <v>#N/A</v>
      </c>
    </row>
    <row r="253" spans="1:27" x14ac:dyDescent="0.25">
      <c r="A253" s="30" t="s">
        <v>555</v>
      </c>
      <c r="B253" s="30" t="s">
        <v>554</v>
      </c>
      <c r="C253" s="30" t="s">
        <v>17</v>
      </c>
      <c r="D253" s="30" t="str" cm="1">
        <f t="array" ref="D253">UPPER(_xlfn.XLOOKUP(Loockup_ObrasGerencia[[#This Row],[OBRA_PRONTO]],Tabla7[[#All],[Obra]],Tabla7[[#All],[Gerente de obra]],"Sin Obra Asignada",0))</f>
        <v>CATRIEL GISELA</v>
      </c>
      <c r="E253" s="31" t="str">
        <f>Loockup_ObrasGerencia[[#This Row],[OBRA_PRONTO]]&amp;Loockup_ObrasGerencia[[#This Row],[GERENCIA]]</f>
        <v>00000253CATRIEL GISELA</v>
      </c>
      <c r="H253" t="s">
        <v>560</v>
      </c>
      <c r="I253" t="s">
        <v>561</v>
      </c>
      <c r="J253" t="s">
        <v>29</v>
      </c>
      <c r="K253" t="str">
        <f>Tabla7[[#This Row],[Obra]]&amp;Tabla7[[#This Row],[Gerente de obra]]</f>
        <v>00000256Diego Ibañez</v>
      </c>
      <c r="L253">
        <f>MATCH(Tabla7[[#This Row],[AUX]],Loockup_ObrasGerencia[[#All],[aux]],0)</f>
        <v>256</v>
      </c>
      <c r="O253" t="str">
        <f>UPPER(GERENCIAS[[#This Row],[Gerente de obra]])</f>
        <v>FRANCISCO DI LISIO</v>
      </c>
      <c r="R253" t="s">
        <v>590</v>
      </c>
      <c r="S253" t="s">
        <v>591</v>
      </c>
      <c r="T253" t="s">
        <v>78</v>
      </c>
      <c r="W253" s="8" t="s">
        <v>555</v>
      </c>
      <c r="X253" s="8" t="s">
        <v>554</v>
      </c>
      <c r="Y253" s="8" t="s">
        <v>17</v>
      </c>
      <c r="Z253" t="str">
        <f t="shared" si="3"/>
        <v>00000253SI</v>
      </c>
      <c r="AA253" s="11" t="e">
        <f>MATCH(Tabla9[[#This Row],[AUX]],Loockup_ObrasGerencia[[#All],[aux]],0)</f>
        <v>#N/A</v>
      </c>
    </row>
    <row r="254" spans="1:27" x14ac:dyDescent="0.25">
      <c r="A254" s="30" t="s">
        <v>557</v>
      </c>
      <c r="B254" s="30" t="s">
        <v>556</v>
      </c>
      <c r="C254" s="30" t="s">
        <v>17</v>
      </c>
      <c r="D254" s="30" t="str" cm="1">
        <f t="array" ref="D254">UPPER(_xlfn.XLOOKUP(Loockup_ObrasGerencia[[#This Row],[OBRA_PRONTO]],Tabla7[[#All],[Obra]],Tabla7[[#All],[Gerente de obra]],"Sin Obra Asignada",0))</f>
        <v>ORTIZ JUAN MANUEL</v>
      </c>
      <c r="E254" s="31" t="str">
        <f>Loockup_ObrasGerencia[[#This Row],[OBRA_PRONTO]]&amp;Loockup_ObrasGerencia[[#This Row],[GERENCIA]]</f>
        <v>00000254ORTIZ JUAN MANUEL</v>
      </c>
      <c r="H254" t="s">
        <v>562</v>
      </c>
      <c r="I254" t="s">
        <v>563</v>
      </c>
      <c r="J254" t="s">
        <v>18</v>
      </c>
      <c r="K254" t="str">
        <f>Tabla7[[#This Row],[Obra]]&amp;Tabla7[[#This Row],[Gerente de obra]]</f>
        <v>00000257Ortiz Juan Manuel</v>
      </c>
      <c r="L254">
        <f>MATCH(Tabla7[[#This Row],[AUX]],Loockup_ObrasGerencia[[#All],[aux]],0)</f>
        <v>257</v>
      </c>
      <c r="O254" t="str">
        <f>UPPER(GERENCIAS[[#This Row],[Gerente de obra]])</f>
        <v>FANJUL NICOLÁS</v>
      </c>
      <c r="R254" t="s">
        <v>592</v>
      </c>
      <c r="S254" t="s">
        <v>593</v>
      </c>
      <c r="T254" t="s">
        <v>226</v>
      </c>
      <c r="W254" s="8" t="s">
        <v>557</v>
      </c>
      <c r="X254" s="8" t="s">
        <v>556</v>
      </c>
      <c r="Y254" s="8" t="s">
        <v>17</v>
      </c>
      <c r="Z254" t="str">
        <f t="shared" si="3"/>
        <v>00000254SI</v>
      </c>
      <c r="AA254" s="11" t="e">
        <f>MATCH(Tabla9[[#This Row],[AUX]],Loockup_ObrasGerencia[[#All],[aux]],0)</f>
        <v>#N/A</v>
      </c>
    </row>
    <row r="255" spans="1:27" x14ac:dyDescent="0.25">
      <c r="A255" s="30" t="s">
        <v>559</v>
      </c>
      <c r="B255" s="30" t="s">
        <v>558</v>
      </c>
      <c r="C255" s="30" t="s">
        <v>28</v>
      </c>
      <c r="D255" s="30" t="str" cm="1">
        <f t="array" ref="D255">UPPER(_xlfn.XLOOKUP(Loockup_ObrasGerencia[[#This Row],[OBRA_PRONTO]],Tabla7[[#All],[Obra]],Tabla7[[#All],[Gerente de obra]],"Sin Obra Asignada",0))</f>
        <v>DIEGO IBAÑEZ</v>
      </c>
      <c r="E255" s="31" t="str">
        <f>Loockup_ObrasGerencia[[#This Row],[OBRA_PRONTO]]&amp;Loockup_ObrasGerencia[[#This Row],[GERENCIA]]</f>
        <v>00000255DIEGO IBAÑEZ</v>
      </c>
      <c r="H255" t="s">
        <v>564</v>
      </c>
      <c r="I255" t="s">
        <v>565</v>
      </c>
      <c r="J255" t="s">
        <v>79</v>
      </c>
      <c r="K255" t="str">
        <f>Tabla7[[#This Row],[Obra]]&amp;Tabla7[[#This Row],[Gerente de obra]]</f>
        <v>00000258Francisco Di Lisio</v>
      </c>
      <c r="L255">
        <f>MATCH(Tabla7[[#This Row],[AUX]],Loockup_ObrasGerencia[[#All],[aux]],0)</f>
        <v>258</v>
      </c>
      <c r="O255" t="str">
        <f>UPPER(GERENCIAS[[#This Row],[Gerente de obra]])</f>
        <v>BARONE ALBERTO</v>
      </c>
      <c r="R255" t="s">
        <v>594</v>
      </c>
      <c r="S255" t="s">
        <v>595</v>
      </c>
      <c r="T255" t="s">
        <v>132</v>
      </c>
      <c r="W255" s="8" t="s">
        <v>559</v>
      </c>
      <c r="X255" s="8" t="s">
        <v>558</v>
      </c>
      <c r="Y255" s="8" t="s">
        <v>28</v>
      </c>
      <c r="Z255" t="str">
        <f t="shared" si="3"/>
        <v>00000255COMPENSABLE TALLER</v>
      </c>
      <c r="AA255" s="11" t="e">
        <f>MATCH(Tabla9[[#This Row],[AUX]],Loockup_ObrasGerencia[[#All],[aux]],0)</f>
        <v>#N/A</v>
      </c>
    </row>
    <row r="256" spans="1:27" x14ac:dyDescent="0.25">
      <c r="A256" s="30" t="s">
        <v>561</v>
      </c>
      <c r="B256" s="30" t="s">
        <v>560</v>
      </c>
      <c r="C256" s="30" t="s">
        <v>28</v>
      </c>
      <c r="D256" s="30" t="str" cm="1">
        <f t="array" ref="D256">UPPER(_xlfn.XLOOKUP(Loockup_ObrasGerencia[[#This Row],[OBRA_PRONTO]],Tabla7[[#All],[Obra]],Tabla7[[#All],[Gerente de obra]],"Sin Obra Asignada",0))</f>
        <v>DIEGO IBAÑEZ</v>
      </c>
      <c r="E256" s="31" t="str">
        <f>Loockup_ObrasGerencia[[#This Row],[OBRA_PRONTO]]&amp;Loockup_ObrasGerencia[[#This Row],[GERENCIA]]</f>
        <v>00000256DIEGO IBAÑEZ</v>
      </c>
      <c r="H256" t="s">
        <v>566</v>
      </c>
      <c r="I256" t="s">
        <v>567</v>
      </c>
      <c r="J256" t="s">
        <v>18</v>
      </c>
      <c r="K256" t="str">
        <f>Tabla7[[#This Row],[Obra]]&amp;Tabla7[[#This Row],[Gerente de obra]]</f>
        <v>00000259Ortiz Juan Manuel</v>
      </c>
      <c r="L256">
        <f>MATCH(Tabla7[[#This Row],[AUX]],Loockup_ObrasGerencia[[#All],[aux]],0)</f>
        <v>259</v>
      </c>
      <c r="O256" t="str">
        <f>UPPER(GERENCIAS[[#This Row],[Gerente de obra]])</f>
        <v>GONZALO SILVA</v>
      </c>
      <c r="R256" t="s">
        <v>596</v>
      </c>
      <c r="S256" t="s">
        <v>597</v>
      </c>
      <c r="T256" t="s">
        <v>368</v>
      </c>
      <c r="W256" s="8" t="s">
        <v>561</v>
      </c>
      <c r="X256" s="8" t="s">
        <v>560</v>
      </c>
      <c r="Y256" s="8" t="s">
        <v>28</v>
      </c>
      <c r="Z256" t="str">
        <f t="shared" si="3"/>
        <v>00000256COMPENSABLE TALLER</v>
      </c>
      <c r="AA256" s="11" t="e">
        <f>MATCH(Tabla9[[#This Row],[AUX]],Loockup_ObrasGerencia[[#All],[aux]],0)</f>
        <v>#N/A</v>
      </c>
    </row>
    <row r="257" spans="1:27" x14ac:dyDescent="0.25">
      <c r="A257" s="30" t="s">
        <v>563</v>
      </c>
      <c r="B257" s="30" t="s">
        <v>562</v>
      </c>
      <c r="C257" s="30" t="s">
        <v>64</v>
      </c>
      <c r="D257" s="30" t="str" cm="1">
        <f t="array" ref="D257">UPPER(_xlfn.XLOOKUP(Loockup_ObrasGerencia[[#This Row],[OBRA_PRONTO]],Tabla7[[#All],[Obra]],Tabla7[[#All],[Gerente de obra]],"Sin Obra Asignada",0))</f>
        <v>ORTIZ JUAN MANUEL</v>
      </c>
      <c r="E257" s="31" t="str">
        <f>Loockup_ObrasGerencia[[#This Row],[OBRA_PRONTO]]&amp;Loockup_ObrasGerencia[[#This Row],[GERENCIA]]</f>
        <v>00000257ORTIZ JUAN MANUEL</v>
      </c>
      <c r="H257" t="s">
        <v>568</v>
      </c>
      <c r="I257" t="s">
        <v>569</v>
      </c>
      <c r="J257" t="s">
        <v>29</v>
      </c>
      <c r="K257" t="str">
        <f>Tabla7[[#This Row],[Obra]]&amp;Tabla7[[#This Row],[Gerente de obra]]</f>
        <v>00000260Diego Ibañez</v>
      </c>
      <c r="L257">
        <f>MATCH(Tabla7[[#This Row],[AUX]],Loockup_ObrasGerencia[[#All],[aux]],0)</f>
        <v>260</v>
      </c>
      <c r="O257" t="str">
        <f>UPPER(GERENCIAS[[#This Row],[Gerente de obra]])</f>
        <v>FRANCISCO DI LISIO</v>
      </c>
      <c r="R257" t="s">
        <v>598</v>
      </c>
      <c r="S257" t="s">
        <v>599</v>
      </c>
      <c r="T257" t="s">
        <v>78</v>
      </c>
      <c r="W257" s="8" t="s">
        <v>563</v>
      </c>
      <c r="X257" s="8" t="s">
        <v>562</v>
      </c>
      <c r="Y257" s="8" t="s">
        <v>64</v>
      </c>
      <c r="Z257" t="str">
        <f t="shared" si="3"/>
        <v>00000257ADMINISTRACION</v>
      </c>
      <c r="AA257" s="11" t="e">
        <f>MATCH(Tabla9[[#This Row],[AUX]],Loockup_ObrasGerencia[[#All],[aux]],0)</f>
        <v>#N/A</v>
      </c>
    </row>
    <row r="258" spans="1:27" x14ac:dyDescent="0.25">
      <c r="A258" s="30" t="s">
        <v>565</v>
      </c>
      <c r="B258" s="30" t="s">
        <v>564</v>
      </c>
      <c r="C258" s="30" t="s">
        <v>17</v>
      </c>
      <c r="D258" s="30" t="str" cm="1">
        <f t="array" ref="D258">UPPER(_xlfn.XLOOKUP(Loockup_ObrasGerencia[[#This Row],[OBRA_PRONTO]],Tabla7[[#All],[Obra]],Tabla7[[#All],[Gerente de obra]],"Sin Obra Asignada",0))</f>
        <v>FRANCISCO DI LISIO</v>
      </c>
      <c r="E258" s="31" t="str">
        <f>Loockup_ObrasGerencia[[#This Row],[OBRA_PRONTO]]&amp;Loockup_ObrasGerencia[[#This Row],[GERENCIA]]</f>
        <v>00000258FRANCISCO DI LISIO</v>
      </c>
      <c r="H258" t="s">
        <v>570</v>
      </c>
      <c r="I258" t="s">
        <v>571</v>
      </c>
      <c r="J258" t="s">
        <v>79</v>
      </c>
      <c r="K258" t="str">
        <f>Tabla7[[#This Row],[Obra]]&amp;Tabla7[[#This Row],[Gerente de obra]]</f>
        <v>00000261Francisco Di Lisio</v>
      </c>
      <c r="L258">
        <f>MATCH(Tabla7[[#This Row],[AUX]],Loockup_ObrasGerencia[[#All],[aux]],0)</f>
        <v>261</v>
      </c>
      <c r="O258" t="str">
        <f>UPPER(GERENCIAS[[#This Row],[Gerente de obra]])</f>
        <v>ORTIZ JUAN MANUEL</v>
      </c>
      <c r="R258" t="s">
        <v>600</v>
      </c>
      <c r="S258" t="s">
        <v>601</v>
      </c>
      <c r="T258" t="s">
        <v>19</v>
      </c>
      <c r="W258" s="8" t="s">
        <v>565</v>
      </c>
      <c r="X258" s="8" t="s">
        <v>564</v>
      </c>
      <c r="Y258" s="8" t="s">
        <v>17</v>
      </c>
      <c r="Z258" t="str">
        <f t="shared" ref="Z258:Z321" si="4">X258&amp;Y258</f>
        <v>00000258SI</v>
      </c>
      <c r="AA258" s="11" t="e">
        <f>MATCH(Tabla9[[#This Row],[AUX]],Loockup_ObrasGerencia[[#All],[aux]],0)</f>
        <v>#N/A</v>
      </c>
    </row>
    <row r="259" spans="1:27" x14ac:dyDescent="0.25">
      <c r="A259" s="30" t="s">
        <v>567</v>
      </c>
      <c r="B259" s="30" t="s">
        <v>566</v>
      </c>
      <c r="C259" s="30" t="s">
        <v>17</v>
      </c>
      <c r="D259" s="30" t="str" cm="1">
        <f t="array" ref="D259">UPPER(_xlfn.XLOOKUP(Loockup_ObrasGerencia[[#This Row],[OBRA_PRONTO]],Tabla7[[#All],[Obra]],Tabla7[[#All],[Gerente de obra]],"Sin Obra Asignada",0))</f>
        <v>ORTIZ JUAN MANUEL</v>
      </c>
      <c r="E259" s="31" t="str">
        <f>Loockup_ObrasGerencia[[#This Row],[OBRA_PRONTO]]&amp;Loockup_ObrasGerencia[[#This Row],[GERENCIA]]</f>
        <v>00000259ORTIZ JUAN MANUEL</v>
      </c>
      <c r="H259" t="s">
        <v>572</v>
      </c>
      <c r="I259" t="s">
        <v>573</v>
      </c>
      <c r="J259" t="s">
        <v>24</v>
      </c>
      <c r="K259" t="str">
        <f>Tabla7[[#This Row],[Obra]]&amp;Tabla7[[#This Row],[Gerente de obra]]</f>
        <v>00000262Trujillo</v>
      </c>
      <c r="L259">
        <f>MATCH(Tabla7[[#This Row],[AUX]],Loockup_ObrasGerencia[[#All],[aux]],0)</f>
        <v>262</v>
      </c>
      <c r="O259" t="str">
        <f>UPPER(GERENCIAS[[#This Row],[Gerente de obra]])</f>
        <v>GONZALO SILVA</v>
      </c>
      <c r="R259" t="s">
        <v>602</v>
      </c>
      <c r="S259" t="s">
        <v>603</v>
      </c>
      <c r="T259" t="s">
        <v>368</v>
      </c>
      <c r="W259" s="8" t="s">
        <v>567</v>
      </c>
      <c r="X259" s="8" t="s">
        <v>566</v>
      </c>
      <c r="Y259" s="8" t="s">
        <v>17</v>
      </c>
      <c r="Z259" t="str">
        <f t="shared" si="4"/>
        <v>00000259SI</v>
      </c>
      <c r="AA259" s="11" t="e">
        <f>MATCH(Tabla9[[#This Row],[AUX]],Loockup_ObrasGerencia[[#All],[aux]],0)</f>
        <v>#N/A</v>
      </c>
    </row>
    <row r="260" spans="1:27" x14ac:dyDescent="0.25">
      <c r="A260" s="30" t="s">
        <v>569</v>
      </c>
      <c r="B260" s="30" t="s">
        <v>568</v>
      </c>
      <c r="C260" s="30" t="s">
        <v>28</v>
      </c>
      <c r="D260" s="30" t="str" cm="1">
        <f t="array" ref="D260">UPPER(_xlfn.XLOOKUP(Loockup_ObrasGerencia[[#This Row],[OBRA_PRONTO]],Tabla7[[#All],[Obra]],Tabla7[[#All],[Gerente de obra]],"Sin Obra Asignada",0))</f>
        <v>DIEGO IBAÑEZ</v>
      </c>
      <c r="E260" s="31" t="str">
        <f>Loockup_ObrasGerencia[[#This Row],[OBRA_PRONTO]]&amp;Loockup_ObrasGerencia[[#This Row],[GERENCIA]]</f>
        <v>00000260DIEGO IBAÑEZ</v>
      </c>
      <c r="H260" t="s">
        <v>574</v>
      </c>
      <c r="I260" t="s">
        <v>575</v>
      </c>
      <c r="J260" t="s">
        <v>24</v>
      </c>
      <c r="K260" t="str">
        <f>Tabla7[[#This Row],[Obra]]&amp;Tabla7[[#This Row],[Gerente de obra]]</f>
        <v>00000263Trujillo</v>
      </c>
      <c r="L260">
        <f>MATCH(Tabla7[[#This Row],[AUX]],Loockup_ObrasGerencia[[#All],[aux]],0)</f>
        <v>263</v>
      </c>
      <c r="O260" t="str">
        <f>UPPER(GERENCIAS[[#This Row],[Gerente de obra]])</f>
        <v>GONZALO SILVA</v>
      </c>
      <c r="R260" t="s">
        <v>604</v>
      </c>
      <c r="S260" t="s">
        <v>605</v>
      </c>
      <c r="T260" t="s">
        <v>368</v>
      </c>
      <c r="W260" s="8" t="s">
        <v>569</v>
      </c>
      <c r="X260" s="8" t="s">
        <v>568</v>
      </c>
      <c r="Y260" s="8" t="s">
        <v>28</v>
      </c>
      <c r="Z260" t="str">
        <f t="shared" si="4"/>
        <v>00000260COMPENSABLE TALLER</v>
      </c>
      <c r="AA260" s="11" t="e">
        <f>MATCH(Tabla9[[#This Row],[AUX]],Loockup_ObrasGerencia[[#All],[aux]],0)</f>
        <v>#N/A</v>
      </c>
    </row>
    <row r="261" spans="1:27" x14ac:dyDescent="0.25">
      <c r="A261" s="30" t="s">
        <v>571</v>
      </c>
      <c r="B261" s="30" t="s">
        <v>570</v>
      </c>
      <c r="C261" s="30" t="s">
        <v>17</v>
      </c>
      <c r="D261" s="30" t="str" cm="1">
        <f t="array" ref="D261">UPPER(_xlfn.XLOOKUP(Loockup_ObrasGerencia[[#This Row],[OBRA_PRONTO]],Tabla7[[#All],[Obra]],Tabla7[[#All],[Gerente de obra]],"Sin Obra Asignada",0))</f>
        <v>FRANCISCO DI LISIO</v>
      </c>
      <c r="E261" s="31" t="str">
        <f>Loockup_ObrasGerencia[[#This Row],[OBRA_PRONTO]]&amp;Loockup_ObrasGerencia[[#This Row],[GERENCIA]]</f>
        <v>00000261FRANCISCO DI LISIO</v>
      </c>
      <c r="H261" t="s">
        <v>576</v>
      </c>
      <c r="I261" t="s">
        <v>577</v>
      </c>
      <c r="J261" t="s">
        <v>24</v>
      </c>
      <c r="K261" t="str">
        <f>Tabla7[[#This Row],[Obra]]&amp;Tabla7[[#This Row],[Gerente de obra]]</f>
        <v>00000264Trujillo</v>
      </c>
      <c r="L261">
        <f>MATCH(Tabla7[[#This Row],[AUX]],Loockup_ObrasGerencia[[#All],[aux]],0)</f>
        <v>264</v>
      </c>
      <c r="O261" t="str">
        <f>UPPER(GERENCIAS[[#This Row],[Gerente de obra]])</f>
        <v>GONZALO SILVA</v>
      </c>
      <c r="R261" t="s">
        <v>606</v>
      </c>
      <c r="S261" t="s">
        <v>607</v>
      </c>
      <c r="T261" t="s">
        <v>368</v>
      </c>
      <c r="W261" s="8" t="s">
        <v>571</v>
      </c>
      <c r="X261" s="8" t="s">
        <v>570</v>
      </c>
      <c r="Y261" s="8" t="s">
        <v>17</v>
      </c>
      <c r="Z261" t="str">
        <f t="shared" si="4"/>
        <v>00000261SI</v>
      </c>
      <c r="AA261" s="11" t="e">
        <f>MATCH(Tabla9[[#This Row],[AUX]],Loockup_ObrasGerencia[[#All],[aux]],0)</f>
        <v>#N/A</v>
      </c>
    </row>
    <row r="262" spans="1:27" x14ac:dyDescent="0.25">
      <c r="A262" s="30" t="s">
        <v>573</v>
      </c>
      <c r="B262" s="30" t="s">
        <v>572</v>
      </c>
      <c r="C262" s="30" t="s">
        <v>17</v>
      </c>
      <c r="D262" s="30" t="str" cm="1">
        <f t="array" ref="D262">UPPER(_xlfn.XLOOKUP(Loockup_ObrasGerencia[[#This Row],[OBRA_PRONTO]],Tabla7[[#All],[Obra]],Tabla7[[#All],[Gerente de obra]],"Sin Obra Asignada",0))</f>
        <v>TRUJILLO</v>
      </c>
      <c r="E262" s="31" t="str">
        <f>Loockup_ObrasGerencia[[#This Row],[OBRA_PRONTO]]&amp;Loockup_ObrasGerencia[[#This Row],[GERENCIA]]</f>
        <v>00000262TRUJILLO</v>
      </c>
      <c r="H262" t="s">
        <v>578</v>
      </c>
      <c r="I262" t="s">
        <v>579</v>
      </c>
      <c r="J262" t="s">
        <v>18</v>
      </c>
      <c r="K262" t="str">
        <f>Tabla7[[#This Row],[Obra]]&amp;Tabla7[[#This Row],[Gerente de obra]]</f>
        <v>00000265Ortiz Juan Manuel</v>
      </c>
      <c r="L262">
        <f>MATCH(Tabla7[[#This Row],[AUX]],Loockup_ObrasGerencia[[#All],[aux]],0)</f>
        <v>265</v>
      </c>
      <c r="O262" t="str">
        <f>UPPER(GERENCIAS[[#This Row],[Gerente de obra]])</f>
        <v>BARONE ALBERTO</v>
      </c>
      <c r="R262" t="s">
        <v>608</v>
      </c>
      <c r="S262" t="s">
        <v>609</v>
      </c>
      <c r="T262" t="s">
        <v>132</v>
      </c>
      <c r="W262" s="8" t="s">
        <v>573</v>
      </c>
      <c r="X262" s="8" t="s">
        <v>572</v>
      </c>
      <c r="Y262" s="8" t="s">
        <v>17</v>
      </c>
      <c r="Z262" t="str">
        <f t="shared" si="4"/>
        <v>00000262SI</v>
      </c>
      <c r="AA262" s="11" t="e">
        <f>MATCH(Tabla9[[#This Row],[AUX]],Loockup_ObrasGerencia[[#All],[aux]],0)</f>
        <v>#N/A</v>
      </c>
    </row>
    <row r="263" spans="1:27" x14ac:dyDescent="0.25">
      <c r="A263" s="30" t="s">
        <v>575</v>
      </c>
      <c r="B263" s="30" t="s">
        <v>574</v>
      </c>
      <c r="C263" s="30" t="s">
        <v>17</v>
      </c>
      <c r="D263" s="30" t="str" cm="1">
        <f t="array" ref="D263">UPPER(_xlfn.XLOOKUP(Loockup_ObrasGerencia[[#This Row],[OBRA_PRONTO]],Tabla7[[#All],[Obra]],Tabla7[[#All],[Gerente de obra]],"Sin Obra Asignada",0))</f>
        <v>TRUJILLO</v>
      </c>
      <c r="E263" s="31" t="str">
        <f>Loockup_ObrasGerencia[[#This Row],[OBRA_PRONTO]]&amp;Loockup_ObrasGerencia[[#This Row],[GERENCIA]]</f>
        <v>00000263TRUJILLO</v>
      </c>
      <c r="H263" t="s">
        <v>580</v>
      </c>
      <c r="I263" t="s">
        <v>581</v>
      </c>
      <c r="J263" t="s">
        <v>18</v>
      </c>
      <c r="K263" t="str">
        <f>Tabla7[[#This Row],[Obra]]&amp;Tabla7[[#This Row],[Gerente de obra]]</f>
        <v>00000266Ortiz Juan Manuel</v>
      </c>
      <c r="L263">
        <f>MATCH(Tabla7[[#This Row],[AUX]],Loockup_ObrasGerencia[[#All],[aux]],0)</f>
        <v>266</v>
      </c>
      <c r="O263" t="str">
        <f>UPPER(GERENCIAS[[#This Row],[Gerente de obra]])</f>
        <v>DIEGO IBAÑEZ</v>
      </c>
      <c r="R263" t="s">
        <v>610</v>
      </c>
      <c r="S263" t="s">
        <v>611</v>
      </c>
      <c r="T263" t="s">
        <v>30</v>
      </c>
      <c r="W263" s="8" t="s">
        <v>575</v>
      </c>
      <c r="X263" s="8" t="s">
        <v>574</v>
      </c>
      <c r="Y263" s="8" t="s">
        <v>17</v>
      </c>
      <c r="Z263" t="str">
        <f t="shared" si="4"/>
        <v>00000263SI</v>
      </c>
      <c r="AA263" s="11" t="e">
        <f>MATCH(Tabla9[[#This Row],[AUX]],Loockup_ObrasGerencia[[#All],[aux]],0)</f>
        <v>#N/A</v>
      </c>
    </row>
    <row r="264" spans="1:27" x14ac:dyDescent="0.25">
      <c r="A264" s="30" t="s">
        <v>577</v>
      </c>
      <c r="B264" s="30" t="s">
        <v>576</v>
      </c>
      <c r="C264" s="30" t="s">
        <v>17</v>
      </c>
      <c r="D264" s="30" t="str" cm="1">
        <f t="array" ref="D264">UPPER(_xlfn.XLOOKUP(Loockup_ObrasGerencia[[#This Row],[OBRA_PRONTO]],Tabla7[[#All],[Obra]],Tabla7[[#All],[Gerente de obra]],"Sin Obra Asignada",0))</f>
        <v>TRUJILLO</v>
      </c>
      <c r="E264" s="31" t="str">
        <f>Loockup_ObrasGerencia[[#This Row],[OBRA_PRONTO]]&amp;Loockup_ObrasGerencia[[#This Row],[GERENCIA]]</f>
        <v>00000264TRUJILLO</v>
      </c>
      <c r="H264" t="s">
        <v>582</v>
      </c>
      <c r="I264" t="s">
        <v>583</v>
      </c>
      <c r="J264" t="s">
        <v>397</v>
      </c>
      <c r="K264" t="str">
        <f>Tabla7[[#This Row],[Obra]]&amp;Tabla7[[#This Row],[Gerente de obra]]</f>
        <v>00000267Gonzalo Silva</v>
      </c>
      <c r="L264">
        <f>MATCH(Tabla7[[#This Row],[AUX]],Loockup_ObrasGerencia[[#All],[aux]],0)</f>
        <v>267</v>
      </c>
      <c r="O264" t="str">
        <f>UPPER(GERENCIAS[[#This Row],[Gerente de obra]])</f>
        <v>CATRIEL GISELA</v>
      </c>
      <c r="R264" t="s">
        <v>612</v>
      </c>
      <c r="S264" t="s">
        <v>613</v>
      </c>
      <c r="T264" t="s">
        <v>243</v>
      </c>
      <c r="W264" s="8" t="s">
        <v>577</v>
      </c>
      <c r="X264" s="8" t="s">
        <v>576</v>
      </c>
      <c r="Y264" s="8" t="s">
        <v>17</v>
      </c>
      <c r="Z264" t="str">
        <f t="shared" si="4"/>
        <v>00000264SI</v>
      </c>
      <c r="AA264" s="11" t="e">
        <f>MATCH(Tabla9[[#This Row],[AUX]],Loockup_ObrasGerencia[[#All],[aux]],0)</f>
        <v>#N/A</v>
      </c>
    </row>
    <row r="265" spans="1:27" x14ac:dyDescent="0.25">
      <c r="A265" s="30" t="s">
        <v>579</v>
      </c>
      <c r="B265" s="30" t="s">
        <v>578</v>
      </c>
      <c r="C265" s="30" t="s">
        <v>17</v>
      </c>
      <c r="D265" s="30" t="str" cm="1">
        <f t="array" ref="D265">UPPER(_xlfn.XLOOKUP(Loockup_ObrasGerencia[[#This Row],[OBRA_PRONTO]],Tabla7[[#All],[Obra]],Tabla7[[#All],[Gerente de obra]],"Sin Obra Asignada",0))</f>
        <v>ORTIZ JUAN MANUEL</v>
      </c>
      <c r="E265" s="31" t="str">
        <f>Loockup_ObrasGerencia[[#This Row],[OBRA_PRONTO]]&amp;Loockup_ObrasGerencia[[#This Row],[GERENCIA]]</f>
        <v>00000265ORTIZ JUAN MANUEL</v>
      </c>
      <c r="H265" t="s">
        <v>584</v>
      </c>
      <c r="I265" t="s">
        <v>585</v>
      </c>
      <c r="J265" t="s">
        <v>79</v>
      </c>
      <c r="K265" t="str">
        <f>Tabla7[[#This Row],[Obra]]&amp;Tabla7[[#This Row],[Gerente de obra]]</f>
        <v>00000268Francisco Di Lisio</v>
      </c>
      <c r="L265">
        <f>MATCH(Tabla7[[#This Row],[AUX]],Loockup_ObrasGerencia[[#All],[aux]],0)</f>
        <v>268</v>
      </c>
      <c r="O265" t="str">
        <f>UPPER(GERENCIAS[[#This Row],[Gerente de obra]])</f>
        <v>ORTIZ JUAN MANUEL</v>
      </c>
      <c r="R265" t="s">
        <v>614</v>
      </c>
      <c r="S265" t="s">
        <v>615</v>
      </c>
      <c r="T265" t="s">
        <v>19</v>
      </c>
      <c r="W265" s="8" t="s">
        <v>579</v>
      </c>
      <c r="X265" s="8" t="s">
        <v>578</v>
      </c>
      <c r="Y265" s="8" t="s">
        <v>17</v>
      </c>
      <c r="Z265" t="str">
        <f t="shared" si="4"/>
        <v>00000265SI</v>
      </c>
      <c r="AA265" s="11" t="e">
        <f>MATCH(Tabla9[[#This Row],[AUX]],Loockup_ObrasGerencia[[#All],[aux]],0)</f>
        <v>#N/A</v>
      </c>
    </row>
    <row r="266" spans="1:27" x14ac:dyDescent="0.25">
      <c r="A266" s="30" t="s">
        <v>581</v>
      </c>
      <c r="B266" s="30" t="s">
        <v>580</v>
      </c>
      <c r="C266" s="30" t="s">
        <v>17</v>
      </c>
      <c r="D266" s="30" t="str" cm="1">
        <f t="array" ref="D266">UPPER(_xlfn.XLOOKUP(Loockup_ObrasGerencia[[#This Row],[OBRA_PRONTO]],Tabla7[[#All],[Obra]],Tabla7[[#All],[Gerente de obra]],"Sin Obra Asignada",0))</f>
        <v>ORTIZ JUAN MANUEL</v>
      </c>
      <c r="E266" s="31" t="str">
        <f>Loockup_ObrasGerencia[[#This Row],[OBRA_PRONTO]]&amp;Loockup_ObrasGerencia[[#This Row],[GERENCIA]]</f>
        <v>00000266ORTIZ JUAN MANUEL</v>
      </c>
      <c r="H266" t="s">
        <v>586</v>
      </c>
      <c r="I266" t="s">
        <v>587</v>
      </c>
      <c r="J266" t="s">
        <v>271</v>
      </c>
      <c r="K266" t="str">
        <f>Tabla7[[#This Row],[Obra]]&amp;Tabla7[[#This Row],[Gerente de obra]]</f>
        <v>00000269Catriel Gisela</v>
      </c>
      <c r="L266">
        <f>MATCH(Tabla7[[#This Row],[AUX]],Loockup_ObrasGerencia[[#All],[aux]],0)</f>
        <v>269</v>
      </c>
      <c r="O266" t="str">
        <f>UPPER(GERENCIAS[[#This Row],[Gerente de obra]])</f>
        <v>CATRIEL GISELA</v>
      </c>
      <c r="R266" t="s">
        <v>616</v>
      </c>
      <c r="S266" t="s">
        <v>617</v>
      </c>
      <c r="T266" t="s">
        <v>243</v>
      </c>
      <c r="W266" s="8" t="s">
        <v>581</v>
      </c>
      <c r="X266" s="8" t="s">
        <v>580</v>
      </c>
      <c r="Y266" s="8" t="s">
        <v>17</v>
      </c>
      <c r="Z266" t="str">
        <f t="shared" si="4"/>
        <v>00000266SI</v>
      </c>
      <c r="AA266" s="11" t="e">
        <f>MATCH(Tabla9[[#This Row],[AUX]],Loockup_ObrasGerencia[[#All],[aux]],0)</f>
        <v>#N/A</v>
      </c>
    </row>
    <row r="267" spans="1:27" x14ac:dyDescent="0.25">
      <c r="A267" s="30" t="s">
        <v>583</v>
      </c>
      <c r="B267" s="30" t="s">
        <v>582</v>
      </c>
      <c r="C267" s="30" t="s">
        <v>17</v>
      </c>
      <c r="D267" s="30" t="str" cm="1">
        <f t="array" ref="D267">UPPER(_xlfn.XLOOKUP(Loockup_ObrasGerencia[[#This Row],[OBRA_PRONTO]],Tabla7[[#All],[Obra]],Tabla7[[#All],[Gerente de obra]],"Sin Obra Asignada",0))</f>
        <v>GONZALO SILVA</v>
      </c>
      <c r="E267" s="31" t="str">
        <f>Loockup_ObrasGerencia[[#This Row],[OBRA_PRONTO]]&amp;Loockup_ObrasGerencia[[#This Row],[GERENCIA]]</f>
        <v>00000267GONZALO SILVA</v>
      </c>
      <c r="H267" t="s">
        <v>588</v>
      </c>
      <c r="I267" t="s">
        <v>589</v>
      </c>
      <c r="J267" t="s">
        <v>18</v>
      </c>
      <c r="K267" t="str">
        <f>Tabla7[[#This Row],[Obra]]&amp;Tabla7[[#This Row],[Gerente de obra]]</f>
        <v>00000270Ortiz Juan Manuel</v>
      </c>
      <c r="L267">
        <f>MATCH(Tabla7[[#This Row],[AUX]],Loockup_ObrasGerencia[[#All],[aux]],0)</f>
        <v>270</v>
      </c>
      <c r="O267" t="str">
        <f>UPPER(GERENCIAS[[#This Row],[Gerente de obra]])</f>
        <v>TRUJILLO</v>
      </c>
      <c r="R267" t="s">
        <v>618</v>
      </c>
      <c r="S267" t="s">
        <v>619</v>
      </c>
      <c r="T267" t="s">
        <v>25</v>
      </c>
      <c r="W267" s="8" t="s">
        <v>583</v>
      </c>
      <c r="X267" s="8" t="s">
        <v>582</v>
      </c>
      <c r="Y267" s="8" t="s">
        <v>17</v>
      </c>
      <c r="Z267" t="str">
        <f t="shared" si="4"/>
        <v>00000267SI</v>
      </c>
      <c r="AA267" s="11" t="e">
        <f>MATCH(Tabla9[[#This Row],[AUX]],Loockup_ObrasGerencia[[#All],[aux]],0)</f>
        <v>#N/A</v>
      </c>
    </row>
    <row r="268" spans="1:27" x14ac:dyDescent="0.25">
      <c r="A268" s="30" t="s">
        <v>585</v>
      </c>
      <c r="B268" s="30" t="s">
        <v>584</v>
      </c>
      <c r="C268" s="30" t="s">
        <v>270</v>
      </c>
      <c r="D268" s="30" t="str" cm="1">
        <f t="array" ref="D268">UPPER(_xlfn.XLOOKUP(Loockup_ObrasGerencia[[#This Row],[OBRA_PRONTO]],Tabla7[[#All],[Obra]],Tabla7[[#All],[Gerente de obra]],"Sin Obra Asignada",0))</f>
        <v>FRANCISCO DI LISIO</v>
      </c>
      <c r="E268" s="31" t="str">
        <f>Loockup_ObrasGerencia[[#This Row],[OBRA_PRONTO]]&amp;Loockup_ObrasGerencia[[#This Row],[GERENCIA]]</f>
        <v>00000268FRANCISCO DI LISIO</v>
      </c>
      <c r="H268" t="s">
        <v>590</v>
      </c>
      <c r="I268" t="s">
        <v>591</v>
      </c>
      <c r="J268" t="s">
        <v>79</v>
      </c>
      <c r="K268" t="str">
        <f>Tabla7[[#This Row],[Obra]]&amp;Tabla7[[#This Row],[Gerente de obra]]</f>
        <v>00000271Francisco Di Lisio</v>
      </c>
      <c r="L268">
        <f>MATCH(Tabla7[[#This Row],[AUX]],Loockup_ObrasGerencia[[#All],[aux]],0)</f>
        <v>271</v>
      </c>
      <c r="O268" t="str">
        <f>UPPER(GERENCIAS[[#This Row],[Gerente de obra]])</f>
        <v>GONZALO SILVA</v>
      </c>
      <c r="R268" t="s">
        <v>620</v>
      </c>
      <c r="S268" t="s">
        <v>621</v>
      </c>
      <c r="T268" t="s">
        <v>368</v>
      </c>
      <c r="W268" s="8" t="s">
        <v>585</v>
      </c>
      <c r="X268" s="8" t="s">
        <v>584</v>
      </c>
      <c r="Y268" s="8" t="s">
        <v>270</v>
      </c>
      <c r="Z268" t="str">
        <f t="shared" si="4"/>
        <v>00000268ACTIVOS</v>
      </c>
      <c r="AA268" s="11" t="e">
        <f>MATCH(Tabla9[[#This Row],[AUX]],Loockup_ObrasGerencia[[#All],[aux]],0)</f>
        <v>#N/A</v>
      </c>
    </row>
    <row r="269" spans="1:27" x14ac:dyDescent="0.25">
      <c r="A269" s="30" t="s">
        <v>587</v>
      </c>
      <c r="B269" s="30" t="s">
        <v>586</v>
      </c>
      <c r="C269" s="30" t="s">
        <v>17</v>
      </c>
      <c r="D269" s="30" t="str" cm="1">
        <f t="array" ref="D269">UPPER(_xlfn.XLOOKUP(Loockup_ObrasGerencia[[#This Row],[OBRA_PRONTO]],Tabla7[[#All],[Obra]],Tabla7[[#All],[Gerente de obra]],"Sin Obra Asignada",0))</f>
        <v>CATRIEL GISELA</v>
      </c>
      <c r="E269" s="31" t="str">
        <f>Loockup_ObrasGerencia[[#This Row],[OBRA_PRONTO]]&amp;Loockup_ObrasGerencia[[#This Row],[GERENCIA]]</f>
        <v>00000269CATRIEL GISELA</v>
      </c>
      <c r="H269" t="s">
        <v>592</v>
      </c>
      <c r="I269" t="s">
        <v>593</v>
      </c>
      <c r="J269" t="s">
        <v>240</v>
      </c>
      <c r="K269" t="str">
        <f>Tabla7[[#This Row],[Obra]]&amp;Tabla7[[#This Row],[Gerente de obra]]</f>
        <v>00000272Fanjul Nicolás</v>
      </c>
      <c r="L269">
        <f>MATCH(Tabla7[[#This Row],[AUX]],Loockup_ObrasGerencia[[#All],[aux]],0)</f>
        <v>272</v>
      </c>
      <c r="O269" t="str">
        <f>UPPER(GERENCIAS[[#This Row],[Gerente de obra]])</f>
        <v>ORTIZ JUAN MANUEL</v>
      </c>
      <c r="R269" t="s">
        <v>622</v>
      </c>
      <c r="S269" t="s">
        <v>623</v>
      </c>
      <c r="T269" t="s">
        <v>19</v>
      </c>
      <c r="W269" s="8" t="s">
        <v>587</v>
      </c>
      <c r="X269" s="8" t="s">
        <v>586</v>
      </c>
      <c r="Y269" s="8" t="s">
        <v>17</v>
      </c>
      <c r="Z269" t="str">
        <f t="shared" si="4"/>
        <v>00000269SI</v>
      </c>
      <c r="AA269" s="11" t="e">
        <f>MATCH(Tabla9[[#This Row],[AUX]],Loockup_ObrasGerencia[[#All],[aux]],0)</f>
        <v>#N/A</v>
      </c>
    </row>
    <row r="270" spans="1:27" x14ac:dyDescent="0.25">
      <c r="A270" s="30" t="s">
        <v>589</v>
      </c>
      <c r="B270" s="30" t="s">
        <v>588</v>
      </c>
      <c r="C270" s="30" t="s">
        <v>17</v>
      </c>
      <c r="D270" s="30" t="str" cm="1">
        <f t="array" ref="D270">UPPER(_xlfn.XLOOKUP(Loockup_ObrasGerencia[[#This Row],[OBRA_PRONTO]],Tabla7[[#All],[Obra]],Tabla7[[#All],[Gerente de obra]],"Sin Obra Asignada",0))</f>
        <v>ORTIZ JUAN MANUEL</v>
      </c>
      <c r="E270" s="31" t="str">
        <f>Loockup_ObrasGerencia[[#This Row],[OBRA_PRONTO]]&amp;Loockup_ObrasGerencia[[#This Row],[GERENCIA]]</f>
        <v>00000270ORTIZ JUAN MANUEL</v>
      </c>
      <c r="H270" t="s">
        <v>594</v>
      </c>
      <c r="I270" t="s">
        <v>595</v>
      </c>
      <c r="J270" t="s">
        <v>141</v>
      </c>
      <c r="K270" t="str">
        <f>Tabla7[[#This Row],[Obra]]&amp;Tabla7[[#This Row],[Gerente de obra]]</f>
        <v>00000273Barone Alberto</v>
      </c>
      <c r="L270">
        <f>MATCH(Tabla7[[#This Row],[AUX]],Loockup_ObrasGerencia[[#All],[aux]],0)</f>
        <v>273</v>
      </c>
      <c r="O270" t="str">
        <f>UPPER(GERENCIAS[[#This Row],[Gerente de obra]])</f>
        <v>CALDERON JUAN IGNACIO</v>
      </c>
      <c r="R270" t="s">
        <v>624</v>
      </c>
      <c r="S270" t="s">
        <v>625</v>
      </c>
      <c r="T270" t="s">
        <v>35</v>
      </c>
      <c r="W270" s="8" t="s">
        <v>589</v>
      </c>
      <c r="X270" s="8" t="s">
        <v>588</v>
      </c>
      <c r="Y270" s="8" t="s">
        <v>17</v>
      </c>
      <c r="Z270" t="str">
        <f t="shared" si="4"/>
        <v>00000270SI</v>
      </c>
      <c r="AA270" s="11" t="e">
        <f>MATCH(Tabla9[[#This Row],[AUX]],Loockup_ObrasGerencia[[#All],[aux]],0)</f>
        <v>#N/A</v>
      </c>
    </row>
    <row r="271" spans="1:27" x14ac:dyDescent="0.25">
      <c r="A271" s="30" t="s">
        <v>591</v>
      </c>
      <c r="B271" s="30" t="s">
        <v>590</v>
      </c>
      <c r="C271" s="30" t="s">
        <v>17</v>
      </c>
      <c r="D271" s="30" t="str" cm="1">
        <f t="array" ref="D271">UPPER(_xlfn.XLOOKUP(Loockup_ObrasGerencia[[#This Row],[OBRA_PRONTO]],Tabla7[[#All],[Obra]],Tabla7[[#All],[Gerente de obra]],"Sin Obra Asignada",0))</f>
        <v>FRANCISCO DI LISIO</v>
      </c>
      <c r="E271" s="31" t="str">
        <f>Loockup_ObrasGerencia[[#This Row],[OBRA_PRONTO]]&amp;Loockup_ObrasGerencia[[#This Row],[GERENCIA]]</f>
        <v>00000271FRANCISCO DI LISIO</v>
      </c>
      <c r="H271" t="s">
        <v>596</v>
      </c>
      <c r="I271" t="s">
        <v>597</v>
      </c>
      <c r="J271" t="s">
        <v>397</v>
      </c>
      <c r="K271" t="str">
        <f>Tabla7[[#This Row],[Obra]]&amp;Tabla7[[#This Row],[Gerente de obra]]</f>
        <v>00000274Gonzalo Silva</v>
      </c>
      <c r="L271">
        <f>MATCH(Tabla7[[#This Row],[AUX]],Loockup_ObrasGerencia[[#All],[aux]],0)</f>
        <v>274</v>
      </c>
      <c r="O271" t="str">
        <f>UPPER(GERENCIAS[[#This Row],[Gerente de obra]])</f>
        <v>CARDENAS PABLO</v>
      </c>
      <c r="R271" t="s">
        <v>626</v>
      </c>
      <c r="S271" t="s">
        <v>627</v>
      </c>
      <c r="T271" t="s">
        <v>422</v>
      </c>
      <c r="W271" s="8" t="s">
        <v>591</v>
      </c>
      <c r="X271" s="8" t="s">
        <v>590</v>
      </c>
      <c r="Y271" s="8" t="s">
        <v>17</v>
      </c>
      <c r="Z271" t="str">
        <f t="shared" si="4"/>
        <v>00000271SI</v>
      </c>
      <c r="AA271" s="11" t="e">
        <f>MATCH(Tabla9[[#This Row],[AUX]],Loockup_ObrasGerencia[[#All],[aux]],0)</f>
        <v>#N/A</v>
      </c>
    </row>
    <row r="272" spans="1:27" x14ac:dyDescent="0.25">
      <c r="A272" s="30" t="s">
        <v>593</v>
      </c>
      <c r="B272" s="30" t="s">
        <v>592</v>
      </c>
      <c r="C272" s="30" t="s">
        <v>246</v>
      </c>
      <c r="D272" s="30" t="str" cm="1">
        <f t="array" ref="D272">UPPER(_xlfn.XLOOKUP(Loockup_ObrasGerencia[[#This Row],[OBRA_PRONTO]],Tabla7[[#All],[Obra]],Tabla7[[#All],[Gerente de obra]],"Sin Obra Asignada",0))</f>
        <v>FANJUL NICOLÁS</v>
      </c>
      <c r="E272" s="31" t="str">
        <f>Loockup_ObrasGerencia[[#This Row],[OBRA_PRONTO]]&amp;Loockup_ObrasGerencia[[#This Row],[GERENCIA]]</f>
        <v>00000272FANJUL NICOLÁS</v>
      </c>
      <c r="H272" t="s">
        <v>598</v>
      </c>
      <c r="I272" t="s">
        <v>599</v>
      </c>
      <c r="J272" t="s">
        <v>79</v>
      </c>
      <c r="K272" t="str">
        <f>Tabla7[[#This Row],[Obra]]&amp;Tabla7[[#This Row],[Gerente de obra]]</f>
        <v>00000275Francisco Di Lisio</v>
      </c>
      <c r="L272">
        <f>MATCH(Tabla7[[#This Row],[AUX]],Loockup_ObrasGerencia[[#All],[aux]],0)</f>
        <v>275</v>
      </c>
      <c r="O272" t="str">
        <f>UPPER(GERENCIAS[[#This Row],[Gerente de obra]])</f>
        <v>ORTIZ JUAN MANUEL</v>
      </c>
      <c r="R272" t="s">
        <v>628</v>
      </c>
      <c r="S272" t="s">
        <v>629</v>
      </c>
      <c r="T272" t="s">
        <v>19</v>
      </c>
      <c r="W272" s="8" t="s">
        <v>593</v>
      </c>
      <c r="X272" s="8" t="s">
        <v>592</v>
      </c>
      <c r="Y272" s="8" t="s">
        <v>246</v>
      </c>
      <c r="Z272" t="str">
        <f t="shared" si="4"/>
        <v>00000272COMPENSABLE SYGSA</v>
      </c>
      <c r="AA272" s="11" t="e">
        <f>MATCH(Tabla9[[#This Row],[AUX]],Loockup_ObrasGerencia[[#All],[aux]],0)</f>
        <v>#N/A</v>
      </c>
    </row>
    <row r="273" spans="1:27" x14ac:dyDescent="0.25">
      <c r="A273" s="30" t="s">
        <v>595</v>
      </c>
      <c r="B273" s="30" t="s">
        <v>594</v>
      </c>
      <c r="C273" s="30" t="s">
        <v>17</v>
      </c>
      <c r="D273" s="30" t="str" cm="1">
        <f t="array" ref="D273">UPPER(_xlfn.XLOOKUP(Loockup_ObrasGerencia[[#This Row],[OBRA_PRONTO]],Tabla7[[#All],[Obra]],Tabla7[[#All],[Gerente de obra]],"Sin Obra Asignada",0))</f>
        <v>BARONE ALBERTO</v>
      </c>
      <c r="E273" s="31" t="str">
        <f>Loockup_ObrasGerencia[[#This Row],[OBRA_PRONTO]]&amp;Loockup_ObrasGerencia[[#This Row],[GERENCIA]]</f>
        <v>00000273BARONE ALBERTO</v>
      </c>
      <c r="H273" t="s">
        <v>600</v>
      </c>
      <c r="I273" t="s">
        <v>601</v>
      </c>
      <c r="J273" t="s">
        <v>18</v>
      </c>
      <c r="K273" t="str">
        <f>Tabla7[[#This Row],[Obra]]&amp;Tabla7[[#This Row],[Gerente de obra]]</f>
        <v>00000276Ortiz Juan Manuel</v>
      </c>
      <c r="L273">
        <f>MATCH(Tabla7[[#This Row],[AUX]],Loockup_ObrasGerencia[[#All],[aux]],0)</f>
        <v>276</v>
      </c>
      <c r="O273" t="str">
        <f>UPPER(GERENCIAS[[#This Row],[Gerente de obra]])</f>
        <v>ORTIZ JUAN MANUEL</v>
      </c>
      <c r="R273" t="s">
        <v>630</v>
      </c>
      <c r="S273" t="s">
        <v>631</v>
      </c>
      <c r="T273" t="s">
        <v>19</v>
      </c>
      <c r="W273" s="8" t="s">
        <v>595</v>
      </c>
      <c r="X273" s="8" t="s">
        <v>594</v>
      </c>
      <c r="Y273" s="8" t="s">
        <v>17</v>
      </c>
      <c r="Z273" t="str">
        <f t="shared" si="4"/>
        <v>00000273SI</v>
      </c>
      <c r="AA273" s="11" t="e">
        <f>MATCH(Tabla9[[#This Row],[AUX]],Loockup_ObrasGerencia[[#All],[aux]],0)</f>
        <v>#N/A</v>
      </c>
    </row>
    <row r="274" spans="1:27" x14ac:dyDescent="0.25">
      <c r="A274" s="30" t="s">
        <v>597</v>
      </c>
      <c r="B274" s="30" t="s">
        <v>596</v>
      </c>
      <c r="C274" s="30" t="s">
        <v>17</v>
      </c>
      <c r="D274" s="30" t="str" cm="1">
        <f t="array" ref="D274">UPPER(_xlfn.XLOOKUP(Loockup_ObrasGerencia[[#This Row],[OBRA_PRONTO]],Tabla7[[#All],[Obra]],Tabla7[[#All],[Gerente de obra]],"Sin Obra Asignada",0))</f>
        <v>GONZALO SILVA</v>
      </c>
      <c r="E274" s="31" t="str">
        <f>Loockup_ObrasGerencia[[#This Row],[OBRA_PRONTO]]&amp;Loockup_ObrasGerencia[[#This Row],[GERENCIA]]</f>
        <v>00000274GONZALO SILVA</v>
      </c>
      <c r="H274" t="s">
        <v>602</v>
      </c>
      <c r="I274" t="s">
        <v>603</v>
      </c>
      <c r="J274" t="s">
        <v>397</v>
      </c>
      <c r="K274" t="str">
        <f>Tabla7[[#This Row],[Obra]]&amp;Tabla7[[#This Row],[Gerente de obra]]</f>
        <v>00000277Gonzalo Silva</v>
      </c>
      <c r="L274">
        <f>MATCH(Tabla7[[#This Row],[AUX]],Loockup_ObrasGerencia[[#All],[aux]],0)</f>
        <v>277</v>
      </c>
      <c r="O274" t="str">
        <f>UPPER(GERENCIAS[[#This Row],[Gerente de obra]])</f>
        <v>BARONE ALBERTO</v>
      </c>
      <c r="R274" t="s">
        <v>632</v>
      </c>
      <c r="S274" t="s">
        <v>633</v>
      </c>
      <c r="T274" t="s">
        <v>132</v>
      </c>
      <c r="W274" s="8" t="s">
        <v>597</v>
      </c>
      <c r="X274" s="8" t="s">
        <v>596</v>
      </c>
      <c r="Y274" s="8" t="s">
        <v>17</v>
      </c>
      <c r="Z274" t="str">
        <f t="shared" si="4"/>
        <v>00000274SI</v>
      </c>
      <c r="AA274" s="11" t="e">
        <f>MATCH(Tabla9[[#This Row],[AUX]],Loockup_ObrasGerencia[[#All],[aux]],0)</f>
        <v>#N/A</v>
      </c>
    </row>
    <row r="275" spans="1:27" x14ac:dyDescent="0.25">
      <c r="A275" s="30" t="s">
        <v>599</v>
      </c>
      <c r="B275" s="30" t="s">
        <v>598</v>
      </c>
      <c r="C275" s="30" t="s">
        <v>634</v>
      </c>
      <c r="D275" s="30" t="str" cm="1">
        <f t="array" ref="D275">UPPER(_xlfn.XLOOKUP(Loockup_ObrasGerencia[[#This Row],[OBRA_PRONTO]],Tabla7[[#All],[Obra]],Tabla7[[#All],[Gerente de obra]],"Sin Obra Asignada",0))</f>
        <v>FRANCISCO DI LISIO</v>
      </c>
      <c r="E275" s="31" t="str">
        <f>Loockup_ObrasGerencia[[#This Row],[OBRA_PRONTO]]&amp;Loockup_ObrasGerencia[[#This Row],[GERENCIA]]</f>
        <v>00000275FRANCISCO DI LISIO</v>
      </c>
      <c r="H275" t="s">
        <v>604</v>
      </c>
      <c r="I275" t="s">
        <v>605</v>
      </c>
      <c r="J275" t="s">
        <v>397</v>
      </c>
      <c r="K275" t="str">
        <f>Tabla7[[#This Row],[Obra]]&amp;Tabla7[[#This Row],[Gerente de obra]]</f>
        <v>00000278Gonzalo Silva</v>
      </c>
      <c r="L275">
        <f>MATCH(Tabla7[[#This Row],[AUX]],Loockup_ObrasGerencia[[#All],[aux]],0)</f>
        <v>278</v>
      </c>
      <c r="O275" t="str">
        <f>UPPER(GERENCIAS[[#This Row],[Gerente de obra]])</f>
        <v>TRUJILLO</v>
      </c>
      <c r="R275" t="s">
        <v>635</v>
      </c>
      <c r="S275" t="s">
        <v>636</v>
      </c>
      <c r="T275" t="s">
        <v>25</v>
      </c>
      <c r="W275" s="8" t="s">
        <v>599</v>
      </c>
      <c r="X275" s="8" t="s">
        <v>598</v>
      </c>
      <c r="Y275" s="8" t="s">
        <v>634</v>
      </c>
      <c r="Z275" t="str">
        <f t="shared" si="4"/>
        <v>00000275COMPENSABLE GASTOS DE SEDE</v>
      </c>
      <c r="AA275" s="11" t="e">
        <f>MATCH(Tabla9[[#This Row],[AUX]],Loockup_ObrasGerencia[[#All],[aux]],0)</f>
        <v>#N/A</v>
      </c>
    </row>
    <row r="276" spans="1:27" x14ac:dyDescent="0.25">
      <c r="A276" s="30" t="s">
        <v>601</v>
      </c>
      <c r="B276" s="30" t="s">
        <v>600</v>
      </c>
      <c r="C276" s="30" t="s">
        <v>17</v>
      </c>
      <c r="D276" s="30" t="str" cm="1">
        <f t="array" ref="D276">UPPER(_xlfn.XLOOKUP(Loockup_ObrasGerencia[[#This Row],[OBRA_PRONTO]],Tabla7[[#All],[Obra]],Tabla7[[#All],[Gerente de obra]],"Sin Obra Asignada",0))</f>
        <v>ORTIZ JUAN MANUEL</v>
      </c>
      <c r="E276" s="31" t="str">
        <f>Loockup_ObrasGerencia[[#This Row],[OBRA_PRONTO]]&amp;Loockup_ObrasGerencia[[#This Row],[GERENCIA]]</f>
        <v>00000276ORTIZ JUAN MANUEL</v>
      </c>
      <c r="H276" t="s">
        <v>606</v>
      </c>
      <c r="I276" t="s">
        <v>607</v>
      </c>
      <c r="J276" t="s">
        <v>397</v>
      </c>
      <c r="K276" t="str">
        <f>Tabla7[[#This Row],[Obra]]&amp;Tabla7[[#This Row],[Gerente de obra]]</f>
        <v>00000279Gonzalo Silva</v>
      </c>
      <c r="L276">
        <f>MATCH(Tabla7[[#This Row],[AUX]],Loockup_ObrasGerencia[[#All],[aux]],0)</f>
        <v>279</v>
      </c>
      <c r="O276" t="str">
        <f>UPPER(GERENCIAS[[#This Row],[Gerente de obra]])</f>
        <v>TRUJILLO</v>
      </c>
      <c r="R276" t="s">
        <v>637</v>
      </c>
      <c r="S276" t="s">
        <v>638</v>
      </c>
      <c r="T276" t="s">
        <v>25</v>
      </c>
      <c r="W276" s="8" t="s">
        <v>601</v>
      </c>
      <c r="X276" s="8" t="s">
        <v>600</v>
      </c>
      <c r="Y276" s="8" t="s">
        <v>17</v>
      </c>
      <c r="Z276" t="str">
        <f t="shared" si="4"/>
        <v>00000276SI</v>
      </c>
      <c r="AA276" s="11" t="e">
        <f>MATCH(Tabla9[[#This Row],[AUX]],Loockup_ObrasGerencia[[#All],[aux]],0)</f>
        <v>#N/A</v>
      </c>
    </row>
    <row r="277" spans="1:27" x14ac:dyDescent="0.25">
      <c r="A277" s="30" t="s">
        <v>603</v>
      </c>
      <c r="B277" s="30" t="s">
        <v>602</v>
      </c>
      <c r="C277" s="30" t="s">
        <v>17</v>
      </c>
      <c r="D277" s="30" t="str" cm="1">
        <f t="array" ref="D277">UPPER(_xlfn.XLOOKUP(Loockup_ObrasGerencia[[#This Row],[OBRA_PRONTO]],Tabla7[[#All],[Obra]],Tabla7[[#All],[Gerente de obra]],"Sin Obra Asignada",0))</f>
        <v>GONZALO SILVA</v>
      </c>
      <c r="E277" s="31" t="str">
        <f>Loockup_ObrasGerencia[[#This Row],[OBRA_PRONTO]]&amp;Loockup_ObrasGerencia[[#This Row],[GERENCIA]]</f>
        <v>00000277GONZALO SILVA</v>
      </c>
      <c r="H277" t="s">
        <v>608</v>
      </c>
      <c r="I277" t="s">
        <v>609</v>
      </c>
      <c r="J277" t="s">
        <v>141</v>
      </c>
      <c r="K277" t="str">
        <f>Tabla7[[#This Row],[Obra]]&amp;Tabla7[[#This Row],[Gerente de obra]]</f>
        <v>00000280Barone Alberto</v>
      </c>
      <c r="L277">
        <f>MATCH(Tabla7[[#This Row],[AUX]],Loockup_ObrasGerencia[[#All],[aux]],0)</f>
        <v>280</v>
      </c>
      <c r="O277" t="str">
        <f>UPPER(GERENCIAS[[#This Row],[Gerente de obra]])</f>
        <v>FRANCISCO DI LISIO</v>
      </c>
      <c r="R277" t="s">
        <v>639</v>
      </c>
      <c r="S277" t="s">
        <v>640</v>
      </c>
      <c r="T277" t="s">
        <v>78</v>
      </c>
      <c r="W277" s="8" t="s">
        <v>603</v>
      </c>
      <c r="X277" s="8" t="s">
        <v>602</v>
      </c>
      <c r="Y277" s="8" t="s">
        <v>17</v>
      </c>
      <c r="Z277" t="str">
        <f t="shared" si="4"/>
        <v>00000277SI</v>
      </c>
      <c r="AA277" s="11" t="e">
        <f>MATCH(Tabla9[[#This Row],[AUX]],Loockup_ObrasGerencia[[#All],[aux]],0)</f>
        <v>#N/A</v>
      </c>
    </row>
    <row r="278" spans="1:27" x14ac:dyDescent="0.25">
      <c r="A278" s="30" t="s">
        <v>605</v>
      </c>
      <c r="B278" s="30" t="s">
        <v>604</v>
      </c>
      <c r="C278" s="30" t="s">
        <v>17</v>
      </c>
      <c r="D278" s="30" t="str" cm="1">
        <f t="array" ref="D278">UPPER(_xlfn.XLOOKUP(Loockup_ObrasGerencia[[#This Row],[OBRA_PRONTO]],Tabla7[[#All],[Obra]],Tabla7[[#All],[Gerente de obra]],"Sin Obra Asignada",0))</f>
        <v>GONZALO SILVA</v>
      </c>
      <c r="E278" s="31" t="str">
        <f>Loockup_ObrasGerencia[[#This Row],[OBRA_PRONTO]]&amp;Loockup_ObrasGerencia[[#This Row],[GERENCIA]]</f>
        <v>00000278GONZALO SILVA</v>
      </c>
      <c r="H278" t="s">
        <v>610</v>
      </c>
      <c r="I278" t="s">
        <v>611</v>
      </c>
      <c r="J278" t="s">
        <v>29</v>
      </c>
      <c r="K278" t="str">
        <f>Tabla7[[#This Row],[Obra]]&amp;Tabla7[[#This Row],[Gerente de obra]]</f>
        <v>00000281Diego Ibañez</v>
      </c>
      <c r="L278">
        <f>MATCH(Tabla7[[#This Row],[AUX]],Loockup_ObrasGerencia[[#All],[aux]],0)</f>
        <v>281</v>
      </c>
      <c r="O278" t="str">
        <f>UPPER(GERENCIAS[[#This Row],[Gerente de obra]])</f>
        <v>FRANCISCO DI LISIO</v>
      </c>
      <c r="R278" t="s">
        <v>641</v>
      </c>
      <c r="S278" t="s">
        <v>642</v>
      </c>
      <c r="T278" t="s">
        <v>78</v>
      </c>
      <c r="W278" s="8" t="s">
        <v>605</v>
      </c>
      <c r="X278" s="8" t="s">
        <v>604</v>
      </c>
      <c r="Y278" s="8" t="s">
        <v>17</v>
      </c>
      <c r="Z278" t="str">
        <f t="shared" si="4"/>
        <v>00000278SI</v>
      </c>
      <c r="AA278" s="11" t="e">
        <f>MATCH(Tabla9[[#This Row],[AUX]],Loockup_ObrasGerencia[[#All],[aux]],0)</f>
        <v>#N/A</v>
      </c>
    </row>
    <row r="279" spans="1:27" x14ac:dyDescent="0.25">
      <c r="A279" s="30" t="s">
        <v>607</v>
      </c>
      <c r="B279" s="30" t="s">
        <v>606</v>
      </c>
      <c r="C279" s="30" t="s">
        <v>17</v>
      </c>
      <c r="D279" s="30" t="str" cm="1">
        <f t="array" ref="D279">UPPER(_xlfn.XLOOKUP(Loockup_ObrasGerencia[[#This Row],[OBRA_PRONTO]],Tabla7[[#All],[Obra]],Tabla7[[#All],[Gerente de obra]],"Sin Obra Asignada",0))</f>
        <v>GONZALO SILVA</v>
      </c>
      <c r="E279" s="31" t="str">
        <f>Loockup_ObrasGerencia[[#This Row],[OBRA_PRONTO]]&amp;Loockup_ObrasGerencia[[#This Row],[GERENCIA]]</f>
        <v>00000279GONZALO SILVA</v>
      </c>
      <c r="H279" t="s">
        <v>612</v>
      </c>
      <c r="I279" t="s">
        <v>613</v>
      </c>
      <c r="J279" t="s">
        <v>271</v>
      </c>
      <c r="K279" t="str">
        <f>Tabla7[[#This Row],[Obra]]&amp;Tabla7[[#This Row],[Gerente de obra]]</f>
        <v>00000282Catriel Gisela</v>
      </c>
      <c r="L279">
        <f>MATCH(Tabla7[[#This Row],[AUX]],Loockup_ObrasGerencia[[#All],[aux]],0)</f>
        <v>282</v>
      </c>
      <c r="O279" t="str">
        <f>UPPER(GERENCIAS[[#This Row],[Gerente de obra]])</f>
        <v>FRANCISCO DI LISIO</v>
      </c>
      <c r="R279" t="s">
        <v>643</v>
      </c>
      <c r="S279" t="s">
        <v>644</v>
      </c>
      <c r="T279" t="s">
        <v>78</v>
      </c>
      <c r="W279" s="8" t="s">
        <v>607</v>
      </c>
      <c r="X279" s="8" t="s">
        <v>606</v>
      </c>
      <c r="Y279" s="8" t="s">
        <v>17</v>
      </c>
      <c r="Z279" t="str">
        <f t="shared" si="4"/>
        <v>00000279SI</v>
      </c>
      <c r="AA279" s="11" t="e">
        <f>MATCH(Tabla9[[#This Row],[AUX]],Loockup_ObrasGerencia[[#All],[aux]],0)</f>
        <v>#N/A</v>
      </c>
    </row>
    <row r="280" spans="1:27" x14ac:dyDescent="0.25">
      <c r="A280" s="30" t="s">
        <v>609</v>
      </c>
      <c r="B280" s="30" t="s">
        <v>608</v>
      </c>
      <c r="C280" s="30" t="s">
        <v>17</v>
      </c>
      <c r="D280" s="30" t="str" cm="1">
        <f t="array" ref="D280">UPPER(_xlfn.XLOOKUP(Loockup_ObrasGerencia[[#This Row],[OBRA_PRONTO]],Tabla7[[#All],[Obra]],Tabla7[[#All],[Gerente de obra]],"Sin Obra Asignada",0))</f>
        <v>BARONE ALBERTO</v>
      </c>
      <c r="E280" s="31" t="str">
        <f>Loockup_ObrasGerencia[[#This Row],[OBRA_PRONTO]]&amp;Loockup_ObrasGerencia[[#This Row],[GERENCIA]]</f>
        <v>00000280BARONE ALBERTO</v>
      </c>
      <c r="H280" t="s">
        <v>614</v>
      </c>
      <c r="I280" t="s">
        <v>615</v>
      </c>
      <c r="J280" t="s">
        <v>18</v>
      </c>
      <c r="K280" t="str">
        <f>Tabla7[[#This Row],[Obra]]&amp;Tabla7[[#This Row],[Gerente de obra]]</f>
        <v>00000283Ortiz Juan Manuel</v>
      </c>
      <c r="L280">
        <f>MATCH(Tabla7[[#This Row],[AUX]],Loockup_ObrasGerencia[[#All],[aux]],0)</f>
        <v>283</v>
      </c>
      <c r="O280" t="str">
        <f>UPPER(GERENCIAS[[#This Row],[Gerente de obra]])</f>
        <v>FRANCISCO DI LISIO</v>
      </c>
      <c r="R280" t="s">
        <v>645</v>
      </c>
      <c r="S280" t="s">
        <v>646</v>
      </c>
      <c r="T280" t="s">
        <v>78</v>
      </c>
      <c r="W280" s="8" t="s">
        <v>609</v>
      </c>
      <c r="X280" s="8" t="s">
        <v>608</v>
      </c>
      <c r="Y280" s="8" t="s">
        <v>17</v>
      </c>
      <c r="Z280" t="str">
        <f t="shared" si="4"/>
        <v>00000280SI</v>
      </c>
      <c r="AA280" s="11" t="e">
        <f>MATCH(Tabla9[[#This Row],[AUX]],Loockup_ObrasGerencia[[#All],[aux]],0)</f>
        <v>#N/A</v>
      </c>
    </row>
    <row r="281" spans="1:27" x14ac:dyDescent="0.25">
      <c r="A281" s="30" t="s">
        <v>611</v>
      </c>
      <c r="B281" s="30" t="s">
        <v>610</v>
      </c>
      <c r="C281" s="30" t="s">
        <v>28</v>
      </c>
      <c r="D281" s="30" t="str" cm="1">
        <f t="array" ref="D281">UPPER(_xlfn.XLOOKUP(Loockup_ObrasGerencia[[#This Row],[OBRA_PRONTO]],Tabla7[[#All],[Obra]],Tabla7[[#All],[Gerente de obra]],"Sin Obra Asignada",0))</f>
        <v>DIEGO IBAÑEZ</v>
      </c>
      <c r="E281" s="31" t="str">
        <f>Loockup_ObrasGerencia[[#This Row],[OBRA_PRONTO]]&amp;Loockup_ObrasGerencia[[#This Row],[GERENCIA]]</f>
        <v>00000281DIEGO IBAÑEZ</v>
      </c>
      <c r="H281" t="s">
        <v>616</v>
      </c>
      <c r="I281" t="s">
        <v>617</v>
      </c>
      <c r="J281" t="s">
        <v>271</v>
      </c>
      <c r="K281" t="str">
        <f>Tabla7[[#This Row],[Obra]]&amp;Tabla7[[#This Row],[Gerente de obra]]</f>
        <v>00000284Catriel Gisela</v>
      </c>
      <c r="L281">
        <f>MATCH(Tabla7[[#This Row],[AUX]],Loockup_ObrasGerencia[[#All],[aux]],0)</f>
        <v>284</v>
      </c>
      <c r="O281" t="str">
        <f>UPPER(GERENCIAS[[#This Row],[Gerente de obra]])</f>
        <v>FRANCISCO DI LISIO</v>
      </c>
      <c r="R281" t="s">
        <v>647</v>
      </c>
      <c r="S281" t="s">
        <v>648</v>
      </c>
      <c r="T281" t="s">
        <v>78</v>
      </c>
      <c r="W281" s="8" t="s">
        <v>611</v>
      </c>
      <c r="X281" s="8" t="s">
        <v>610</v>
      </c>
      <c r="Y281" s="8" t="s">
        <v>28</v>
      </c>
      <c r="Z281" t="str">
        <f t="shared" si="4"/>
        <v>00000281COMPENSABLE TALLER</v>
      </c>
      <c r="AA281" s="11" t="e">
        <f>MATCH(Tabla9[[#This Row],[AUX]],Loockup_ObrasGerencia[[#All],[aux]],0)</f>
        <v>#N/A</v>
      </c>
    </row>
    <row r="282" spans="1:27" x14ac:dyDescent="0.25">
      <c r="A282" s="30" t="s">
        <v>613</v>
      </c>
      <c r="B282" s="30" t="s">
        <v>612</v>
      </c>
      <c r="C282" s="30" t="s">
        <v>17</v>
      </c>
      <c r="D282" s="30" t="str" cm="1">
        <f t="array" ref="D282">UPPER(_xlfn.XLOOKUP(Loockup_ObrasGerencia[[#This Row],[OBRA_PRONTO]],Tabla7[[#All],[Obra]],Tabla7[[#All],[Gerente de obra]],"Sin Obra Asignada",0))</f>
        <v>CATRIEL GISELA</v>
      </c>
      <c r="E282" s="31" t="str">
        <f>Loockup_ObrasGerencia[[#This Row],[OBRA_PRONTO]]&amp;Loockup_ObrasGerencia[[#This Row],[GERENCIA]]</f>
        <v>00000282CATRIEL GISELA</v>
      </c>
      <c r="H282" t="s">
        <v>618</v>
      </c>
      <c r="I282" t="s">
        <v>619</v>
      </c>
      <c r="J282" t="s">
        <v>24</v>
      </c>
      <c r="K282" t="str">
        <f>Tabla7[[#This Row],[Obra]]&amp;Tabla7[[#This Row],[Gerente de obra]]</f>
        <v>00000285Trujillo</v>
      </c>
      <c r="L282">
        <f>MATCH(Tabla7[[#This Row],[AUX]],Loockup_ObrasGerencia[[#All],[aux]],0)</f>
        <v>285</v>
      </c>
      <c r="O282" t="str">
        <f>UPPER(GERENCIAS[[#This Row],[Gerente de obra]])</f>
        <v>FRANCISCO DI LISIO</v>
      </c>
      <c r="R282" t="s">
        <v>649</v>
      </c>
      <c r="S282" t="s">
        <v>650</v>
      </c>
      <c r="T282" t="s">
        <v>78</v>
      </c>
      <c r="W282" s="8" t="s">
        <v>613</v>
      </c>
      <c r="X282" s="8" t="s">
        <v>612</v>
      </c>
      <c r="Y282" s="8" t="s">
        <v>17</v>
      </c>
      <c r="Z282" t="str">
        <f t="shared" si="4"/>
        <v>00000282SI</v>
      </c>
      <c r="AA282" s="11" t="e">
        <f>MATCH(Tabla9[[#This Row],[AUX]],Loockup_ObrasGerencia[[#All],[aux]],0)</f>
        <v>#N/A</v>
      </c>
    </row>
    <row r="283" spans="1:27" x14ac:dyDescent="0.25">
      <c r="A283" s="30" t="s">
        <v>615</v>
      </c>
      <c r="B283" s="30" t="s">
        <v>614</v>
      </c>
      <c r="C283" s="30" t="s">
        <v>17</v>
      </c>
      <c r="D283" s="30" t="str" cm="1">
        <f t="array" ref="D283">UPPER(_xlfn.XLOOKUP(Loockup_ObrasGerencia[[#This Row],[OBRA_PRONTO]],Tabla7[[#All],[Obra]],Tabla7[[#All],[Gerente de obra]],"Sin Obra Asignada",0))</f>
        <v>ORTIZ JUAN MANUEL</v>
      </c>
      <c r="E283" s="31" t="str">
        <f>Loockup_ObrasGerencia[[#This Row],[OBRA_PRONTO]]&amp;Loockup_ObrasGerencia[[#This Row],[GERENCIA]]</f>
        <v>00000283ORTIZ JUAN MANUEL</v>
      </c>
      <c r="H283" t="s">
        <v>620</v>
      </c>
      <c r="I283" t="s">
        <v>621</v>
      </c>
      <c r="J283" t="s">
        <v>397</v>
      </c>
      <c r="K283" t="str">
        <f>Tabla7[[#This Row],[Obra]]&amp;Tabla7[[#This Row],[Gerente de obra]]</f>
        <v>00000286Gonzalo Silva</v>
      </c>
      <c r="L283">
        <f>MATCH(Tabla7[[#This Row],[AUX]],Loockup_ObrasGerencia[[#All],[aux]],0)</f>
        <v>286</v>
      </c>
      <c r="O283" t="str">
        <f>UPPER(GERENCIAS[[#This Row],[Gerente de obra]])</f>
        <v>FRANCISCO DI LISIO</v>
      </c>
      <c r="R283" t="s">
        <v>651</v>
      </c>
      <c r="S283" t="s">
        <v>652</v>
      </c>
      <c r="T283" t="s">
        <v>78</v>
      </c>
      <c r="W283" s="8" t="s">
        <v>615</v>
      </c>
      <c r="X283" s="8" t="s">
        <v>614</v>
      </c>
      <c r="Y283" s="8" t="s">
        <v>17</v>
      </c>
      <c r="Z283" t="str">
        <f t="shared" si="4"/>
        <v>00000283SI</v>
      </c>
      <c r="AA283" s="11" t="e">
        <f>MATCH(Tabla9[[#This Row],[AUX]],Loockup_ObrasGerencia[[#All],[aux]],0)</f>
        <v>#N/A</v>
      </c>
    </row>
    <row r="284" spans="1:27" x14ac:dyDescent="0.25">
      <c r="A284" s="30" t="s">
        <v>617</v>
      </c>
      <c r="B284" s="30" t="s">
        <v>616</v>
      </c>
      <c r="C284" s="30" t="s">
        <v>17</v>
      </c>
      <c r="D284" s="30" t="str" cm="1">
        <f t="array" ref="D284">UPPER(_xlfn.XLOOKUP(Loockup_ObrasGerencia[[#This Row],[OBRA_PRONTO]],Tabla7[[#All],[Obra]],Tabla7[[#All],[Gerente de obra]],"Sin Obra Asignada",0))</f>
        <v>CATRIEL GISELA</v>
      </c>
      <c r="E284" s="31" t="str">
        <f>Loockup_ObrasGerencia[[#This Row],[OBRA_PRONTO]]&amp;Loockup_ObrasGerencia[[#This Row],[GERENCIA]]</f>
        <v>00000284CATRIEL GISELA</v>
      </c>
      <c r="H284" t="s">
        <v>622</v>
      </c>
      <c r="I284" t="s">
        <v>623</v>
      </c>
      <c r="J284" t="s">
        <v>18</v>
      </c>
      <c r="K284" t="str">
        <f>Tabla7[[#This Row],[Obra]]&amp;Tabla7[[#This Row],[Gerente de obra]]</f>
        <v>00000287Ortiz Juan Manuel</v>
      </c>
      <c r="L284">
        <f>MATCH(Tabla7[[#This Row],[AUX]],Loockup_ObrasGerencia[[#All],[aux]],0)</f>
        <v>287</v>
      </c>
      <c r="O284" t="str">
        <f>UPPER(GERENCIAS[[#This Row],[Gerente de obra]])</f>
        <v>FRANCISCO DI LISIO</v>
      </c>
      <c r="R284" t="s">
        <v>653</v>
      </c>
      <c r="S284" t="s">
        <v>654</v>
      </c>
      <c r="T284" t="s">
        <v>78</v>
      </c>
      <c r="W284" s="8" t="s">
        <v>617</v>
      </c>
      <c r="X284" s="8" t="s">
        <v>616</v>
      </c>
      <c r="Y284" s="8" t="s">
        <v>17</v>
      </c>
      <c r="Z284" t="str">
        <f t="shared" si="4"/>
        <v>00000284SI</v>
      </c>
      <c r="AA284" s="11" t="e">
        <f>MATCH(Tabla9[[#This Row],[AUX]],Loockup_ObrasGerencia[[#All],[aux]],0)</f>
        <v>#N/A</v>
      </c>
    </row>
    <row r="285" spans="1:27" x14ac:dyDescent="0.25">
      <c r="A285" s="30" t="s">
        <v>619</v>
      </c>
      <c r="B285" s="30" t="s">
        <v>618</v>
      </c>
      <c r="C285" s="30" t="s">
        <v>17</v>
      </c>
      <c r="D285" s="30" t="str" cm="1">
        <f t="array" ref="D285">UPPER(_xlfn.XLOOKUP(Loockup_ObrasGerencia[[#This Row],[OBRA_PRONTO]],Tabla7[[#All],[Obra]],Tabla7[[#All],[Gerente de obra]],"Sin Obra Asignada",0))</f>
        <v>TRUJILLO</v>
      </c>
      <c r="E285" s="31" t="str">
        <f>Loockup_ObrasGerencia[[#This Row],[OBRA_PRONTO]]&amp;Loockup_ObrasGerencia[[#This Row],[GERENCIA]]</f>
        <v>00000285TRUJILLO</v>
      </c>
      <c r="H285" t="s">
        <v>624</v>
      </c>
      <c r="I285" t="s">
        <v>625</v>
      </c>
      <c r="J285" t="s">
        <v>34</v>
      </c>
      <c r="K285" t="str">
        <f>Tabla7[[#This Row],[Obra]]&amp;Tabla7[[#This Row],[Gerente de obra]]</f>
        <v>00000288Calderon Juan Ignacio</v>
      </c>
      <c r="L285">
        <f>MATCH(Tabla7[[#This Row],[AUX]],Loockup_ObrasGerencia[[#All],[aux]],0)</f>
        <v>288</v>
      </c>
      <c r="O285" t="str">
        <f>UPPER(GERENCIAS[[#This Row],[Gerente de obra]])</f>
        <v>FRANCISCO DI LISIO</v>
      </c>
      <c r="R285" t="s">
        <v>655</v>
      </c>
      <c r="S285" t="s">
        <v>656</v>
      </c>
      <c r="T285" t="s">
        <v>78</v>
      </c>
      <c r="W285" s="8" t="s">
        <v>619</v>
      </c>
      <c r="X285" s="8" t="s">
        <v>618</v>
      </c>
      <c r="Y285" s="8" t="s">
        <v>17</v>
      </c>
      <c r="Z285" t="str">
        <f t="shared" si="4"/>
        <v>00000285SI</v>
      </c>
      <c r="AA285" s="11" t="e">
        <f>MATCH(Tabla9[[#This Row],[AUX]],Loockup_ObrasGerencia[[#All],[aux]],0)</f>
        <v>#N/A</v>
      </c>
    </row>
    <row r="286" spans="1:27" x14ac:dyDescent="0.25">
      <c r="A286" s="30" t="s">
        <v>621</v>
      </c>
      <c r="B286" s="30" t="s">
        <v>620</v>
      </c>
      <c r="C286" s="30" t="s">
        <v>17</v>
      </c>
      <c r="D286" s="30" t="str" cm="1">
        <f t="array" ref="D286">UPPER(_xlfn.XLOOKUP(Loockup_ObrasGerencia[[#This Row],[OBRA_PRONTO]],Tabla7[[#All],[Obra]],Tabla7[[#All],[Gerente de obra]],"Sin Obra Asignada",0))</f>
        <v>GONZALO SILVA</v>
      </c>
      <c r="E286" s="31" t="str">
        <f>Loockup_ObrasGerencia[[#This Row],[OBRA_PRONTO]]&amp;Loockup_ObrasGerencia[[#This Row],[GERENCIA]]</f>
        <v>00000286GONZALO SILVA</v>
      </c>
      <c r="H286" t="s">
        <v>626</v>
      </c>
      <c r="I286" t="s">
        <v>627</v>
      </c>
      <c r="J286" t="s">
        <v>451</v>
      </c>
      <c r="K286" t="str">
        <f>Tabla7[[#This Row],[Obra]]&amp;Tabla7[[#This Row],[Gerente de obra]]</f>
        <v>00000289Cardenas Pablo</v>
      </c>
      <c r="L286">
        <f>MATCH(Tabla7[[#This Row],[AUX]],Loockup_ObrasGerencia[[#All],[aux]],0)</f>
        <v>289</v>
      </c>
      <c r="O286" t="str">
        <f>UPPER(GERENCIAS[[#This Row],[Gerente de obra]])</f>
        <v>FRANCISCO DI LISIO</v>
      </c>
      <c r="R286" t="s">
        <v>657</v>
      </c>
      <c r="S286" t="s">
        <v>658</v>
      </c>
      <c r="T286" t="s">
        <v>78</v>
      </c>
      <c r="W286" s="8" t="s">
        <v>621</v>
      </c>
      <c r="X286" s="8" t="s">
        <v>620</v>
      </c>
      <c r="Y286" s="8" t="s">
        <v>17</v>
      </c>
      <c r="Z286" t="str">
        <f t="shared" si="4"/>
        <v>00000286SI</v>
      </c>
      <c r="AA286" s="11" t="e">
        <f>MATCH(Tabla9[[#This Row],[AUX]],Loockup_ObrasGerencia[[#All],[aux]],0)</f>
        <v>#N/A</v>
      </c>
    </row>
    <row r="287" spans="1:27" x14ac:dyDescent="0.25">
      <c r="A287" s="30" t="s">
        <v>623</v>
      </c>
      <c r="B287" s="30" t="s">
        <v>622</v>
      </c>
      <c r="C287" s="30" t="s">
        <v>17</v>
      </c>
      <c r="D287" s="30" t="str" cm="1">
        <f t="array" ref="D287">UPPER(_xlfn.XLOOKUP(Loockup_ObrasGerencia[[#This Row],[OBRA_PRONTO]],Tabla7[[#All],[Obra]],Tabla7[[#All],[Gerente de obra]],"Sin Obra Asignada",0))</f>
        <v>ORTIZ JUAN MANUEL</v>
      </c>
      <c r="E287" s="31" t="str">
        <f>Loockup_ObrasGerencia[[#This Row],[OBRA_PRONTO]]&amp;Loockup_ObrasGerencia[[#This Row],[GERENCIA]]</f>
        <v>00000287ORTIZ JUAN MANUEL</v>
      </c>
      <c r="H287" t="s">
        <v>628</v>
      </c>
      <c r="I287" t="s">
        <v>629</v>
      </c>
      <c r="J287" t="s">
        <v>18</v>
      </c>
      <c r="K287" t="str">
        <f>Tabla7[[#This Row],[Obra]]&amp;Tabla7[[#This Row],[Gerente de obra]]</f>
        <v>00000290Ortiz Juan Manuel</v>
      </c>
      <c r="L287">
        <f>MATCH(Tabla7[[#This Row],[AUX]],Loockup_ObrasGerencia[[#All],[aux]],0)</f>
        <v>290</v>
      </c>
      <c r="O287" t="str">
        <f>UPPER(GERENCIAS[[#This Row],[Gerente de obra]])</f>
        <v>FRANCISCO DI LISIO</v>
      </c>
      <c r="R287" t="s">
        <v>659</v>
      </c>
      <c r="S287" t="s">
        <v>660</v>
      </c>
      <c r="T287" t="s">
        <v>78</v>
      </c>
      <c r="W287" s="8" t="s">
        <v>623</v>
      </c>
      <c r="X287" s="8" t="s">
        <v>622</v>
      </c>
      <c r="Y287" s="8" t="s">
        <v>17</v>
      </c>
      <c r="Z287" t="str">
        <f t="shared" si="4"/>
        <v>00000287SI</v>
      </c>
      <c r="AA287" s="11" t="e">
        <f>MATCH(Tabla9[[#This Row],[AUX]],Loockup_ObrasGerencia[[#All],[aux]],0)</f>
        <v>#N/A</v>
      </c>
    </row>
    <row r="288" spans="1:27" x14ac:dyDescent="0.25">
      <c r="A288" s="30" t="s">
        <v>625</v>
      </c>
      <c r="B288" s="30" t="s">
        <v>624</v>
      </c>
      <c r="C288" s="30" t="s">
        <v>33</v>
      </c>
      <c r="D288" s="30" t="str" cm="1">
        <f t="array" ref="D288">UPPER(_xlfn.XLOOKUP(Loockup_ObrasGerencia[[#This Row],[OBRA_PRONTO]],Tabla7[[#All],[Obra]],Tabla7[[#All],[Gerente de obra]],"Sin Obra Asignada",0))</f>
        <v>CALDERON JUAN IGNACIO</v>
      </c>
      <c r="E288" s="31" t="str">
        <f>Loockup_ObrasGerencia[[#This Row],[OBRA_PRONTO]]&amp;Loockup_ObrasGerencia[[#This Row],[GERENCIA]]</f>
        <v>00000288CALDERON JUAN IGNACIO</v>
      </c>
      <c r="H288" t="s">
        <v>630</v>
      </c>
      <c r="I288" t="s">
        <v>631</v>
      </c>
      <c r="J288" t="s">
        <v>18</v>
      </c>
      <c r="K288" t="str">
        <f>Tabla7[[#This Row],[Obra]]&amp;Tabla7[[#This Row],[Gerente de obra]]</f>
        <v>00000292Ortiz Juan Manuel</v>
      </c>
      <c r="L288">
        <f>MATCH(Tabla7[[#This Row],[AUX]],Loockup_ObrasGerencia[[#All],[aux]],0)</f>
        <v>292</v>
      </c>
      <c r="O288" t="str">
        <f>UPPER(GERENCIAS[[#This Row],[Gerente de obra]])</f>
        <v>FRANCISCO DI LISIO</v>
      </c>
      <c r="R288" t="s">
        <v>661</v>
      </c>
      <c r="S288" t="s">
        <v>662</v>
      </c>
      <c r="T288" t="s">
        <v>78</v>
      </c>
      <c r="W288" s="8" t="s">
        <v>625</v>
      </c>
      <c r="X288" s="8" t="s">
        <v>624</v>
      </c>
      <c r="Y288" s="8" t="s">
        <v>33</v>
      </c>
      <c r="Z288" t="str">
        <f t="shared" si="4"/>
        <v>00000288COMPENSABLE BRIC</v>
      </c>
      <c r="AA288" s="11" t="e">
        <f>MATCH(Tabla9[[#This Row],[AUX]],Loockup_ObrasGerencia[[#All],[aux]],0)</f>
        <v>#N/A</v>
      </c>
    </row>
    <row r="289" spans="1:27" x14ac:dyDescent="0.25">
      <c r="A289" s="30" t="s">
        <v>627</v>
      </c>
      <c r="B289" s="30" t="s">
        <v>626</v>
      </c>
      <c r="C289" s="30" t="s">
        <v>17</v>
      </c>
      <c r="D289" s="30" t="str" cm="1">
        <f t="array" ref="D289">UPPER(_xlfn.XLOOKUP(Loockup_ObrasGerencia[[#This Row],[OBRA_PRONTO]],Tabla7[[#All],[Obra]],Tabla7[[#All],[Gerente de obra]],"Sin Obra Asignada",0))</f>
        <v>CARDENAS PABLO</v>
      </c>
      <c r="E289" s="31" t="str">
        <f>Loockup_ObrasGerencia[[#This Row],[OBRA_PRONTO]]&amp;Loockup_ObrasGerencia[[#This Row],[GERENCIA]]</f>
        <v>00000289CARDENAS PABLO</v>
      </c>
      <c r="H289" t="s">
        <v>632</v>
      </c>
      <c r="I289" t="s">
        <v>633</v>
      </c>
      <c r="J289" t="s">
        <v>141</v>
      </c>
      <c r="K289" t="str">
        <f>Tabla7[[#This Row],[Obra]]&amp;Tabla7[[#This Row],[Gerente de obra]]</f>
        <v>00000293Barone Alberto</v>
      </c>
      <c r="L289">
        <f>MATCH(Tabla7[[#This Row],[AUX]],Loockup_ObrasGerencia[[#All],[aux]],0)</f>
        <v>293</v>
      </c>
      <c r="O289" t="str">
        <f>UPPER(GERENCIAS[[#This Row],[Gerente de obra]])</f>
        <v>FRANCISCO DI LISIO</v>
      </c>
      <c r="R289" t="s">
        <v>663</v>
      </c>
      <c r="S289" t="s">
        <v>664</v>
      </c>
      <c r="T289" t="s">
        <v>78</v>
      </c>
      <c r="W289" s="8" t="s">
        <v>627</v>
      </c>
      <c r="X289" s="8" t="s">
        <v>626</v>
      </c>
      <c r="Y289" s="8" t="s">
        <v>17</v>
      </c>
      <c r="Z289" t="str">
        <f t="shared" si="4"/>
        <v>00000289SI</v>
      </c>
      <c r="AA289" s="11" t="e">
        <f>MATCH(Tabla9[[#This Row],[AUX]],Loockup_ObrasGerencia[[#All],[aux]],0)</f>
        <v>#N/A</v>
      </c>
    </row>
    <row r="290" spans="1:27" x14ac:dyDescent="0.25">
      <c r="A290" s="30" t="s">
        <v>629</v>
      </c>
      <c r="B290" s="30" t="s">
        <v>628</v>
      </c>
      <c r="C290" s="30" t="s">
        <v>17</v>
      </c>
      <c r="D290" s="30" t="str" cm="1">
        <f t="array" ref="D290">UPPER(_xlfn.XLOOKUP(Loockup_ObrasGerencia[[#This Row],[OBRA_PRONTO]],Tabla7[[#All],[Obra]],Tabla7[[#All],[Gerente de obra]],"Sin Obra Asignada",0))</f>
        <v>ORTIZ JUAN MANUEL</v>
      </c>
      <c r="E290" s="31" t="str">
        <f>Loockup_ObrasGerencia[[#This Row],[OBRA_PRONTO]]&amp;Loockup_ObrasGerencia[[#This Row],[GERENCIA]]</f>
        <v>00000290ORTIZ JUAN MANUEL</v>
      </c>
      <c r="H290" t="s">
        <v>635</v>
      </c>
      <c r="I290" t="s">
        <v>636</v>
      </c>
      <c r="J290" t="s">
        <v>24</v>
      </c>
      <c r="K290" t="str">
        <f>Tabla7[[#This Row],[Obra]]&amp;Tabla7[[#This Row],[Gerente de obra]]</f>
        <v>00000294Trujillo</v>
      </c>
      <c r="L290">
        <f>MATCH(Tabla7[[#This Row],[AUX]],Loockup_ObrasGerencia[[#All],[aux]],0)</f>
        <v>294</v>
      </c>
      <c r="O290" t="str">
        <f>UPPER(GERENCIAS[[#This Row],[Gerente de obra]])</f>
        <v>FRANCISCO DI LISIO</v>
      </c>
      <c r="R290" t="s">
        <v>665</v>
      </c>
      <c r="S290" t="s">
        <v>270</v>
      </c>
      <c r="T290" t="s">
        <v>78</v>
      </c>
      <c r="W290" s="8" t="s">
        <v>629</v>
      </c>
      <c r="X290" s="8" t="s">
        <v>628</v>
      </c>
      <c r="Y290" s="8" t="s">
        <v>17</v>
      </c>
      <c r="Z290" t="str">
        <f t="shared" si="4"/>
        <v>00000290SI</v>
      </c>
      <c r="AA290" s="11" t="e">
        <f>MATCH(Tabla9[[#This Row],[AUX]],Loockup_ObrasGerencia[[#All],[aux]],0)</f>
        <v>#N/A</v>
      </c>
    </row>
    <row r="291" spans="1:27" x14ac:dyDescent="0.25">
      <c r="A291" s="30" t="s">
        <v>666</v>
      </c>
      <c r="B291" s="30" t="s">
        <v>667</v>
      </c>
      <c r="C291" s="30" t="s">
        <v>246</v>
      </c>
      <c r="D291" s="30" t="str" cm="1">
        <f t="array" ref="D291">UPPER(_xlfn.XLOOKUP(Loockup_ObrasGerencia[[#This Row],[OBRA_PRONTO]],Tabla7[[#All],[Obra]],Tabla7[[#All],[Gerente de obra]],"Sin Obra Asignada",0))</f>
        <v>SIN OBRA ASIGNADA</v>
      </c>
      <c r="E291" s="31" t="str">
        <f>Loockup_ObrasGerencia[[#This Row],[OBRA_PRONTO]]&amp;Loockup_ObrasGerencia[[#This Row],[GERENCIA]]</f>
        <v>00000291SIN OBRA ASIGNADA</v>
      </c>
      <c r="H291" t="s">
        <v>637</v>
      </c>
      <c r="I291" t="s">
        <v>638</v>
      </c>
      <c r="J291" t="s">
        <v>24</v>
      </c>
      <c r="K291" t="str">
        <f>Tabla7[[#This Row],[Obra]]&amp;Tabla7[[#This Row],[Gerente de obra]]</f>
        <v>00000295Trujillo</v>
      </c>
      <c r="L291">
        <f>MATCH(Tabla7[[#This Row],[AUX]],Loockup_ObrasGerencia[[#All],[aux]],0)</f>
        <v>295</v>
      </c>
      <c r="O291" t="str">
        <f>UPPER(GERENCIAS[[#This Row],[Gerente de obra]])</f>
        <v>FRANCISCO DI LISIO</v>
      </c>
      <c r="R291" t="s">
        <v>668</v>
      </c>
      <c r="S291" t="s">
        <v>669</v>
      </c>
      <c r="T291" t="s">
        <v>78</v>
      </c>
      <c r="W291" s="8" t="s">
        <v>666</v>
      </c>
      <c r="X291" s="8" t="s">
        <v>667</v>
      </c>
      <c r="Y291" s="8" t="s">
        <v>246</v>
      </c>
      <c r="Z291" t="str">
        <f t="shared" si="4"/>
        <v>00000291COMPENSABLE SYGSA</v>
      </c>
      <c r="AA291" s="11" t="e">
        <f>MATCH(Tabla9[[#This Row],[AUX]],Loockup_ObrasGerencia[[#All],[aux]],0)</f>
        <v>#N/A</v>
      </c>
    </row>
    <row r="292" spans="1:27" x14ac:dyDescent="0.25">
      <c r="A292" s="30" t="s">
        <v>631</v>
      </c>
      <c r="B292" s="30" t="s">
        <v>630</v>
      </c>
      <c r="C292" s="30" t="s">
        <v>17</v>
      </c>
      <c r="D292" s="30" t="str" cm="1">
        <f t="array" ref="D292">UPPER(_xlfn.XLOOKUP(Loockup_ObrasGerencia[[#This Row],[OBRA_PRONTO]],Tabla7[[#All],[Obra]],Tabla7[[#All],[Gerente de obra]],"Sin Obra Asignada",0))</f>
        <v>ORTIZ JUAN MANUEL</v>
      </c>
      <c r="E292" s="31" t="str">
        <f>Loockup_ObrasGerencia[[#This Row],[OBRA_PRONTO]]&amp;Loockup_ObrasGerencia[[#This Row],[GERENCIA]]</f>
        <v>00000292ORTIZ JUAN MANUEL</v>
      </c>
      <c r="H292" t="s">
        <v>639</v>
      </c>
      <c r="I292" t="s">
        <v>640</v>
      </c>
      <c r="J292" t="s">
        <v>79</v>
      </c>
      <c r="K292" t="str">
        <f>Tabla7[[#This Row],[Obra]]&amp;Tabla7[[#This Row],[Gerente de obra]]</f>
        <v>00000296Francisco Di Lisio</v>
      </c>
      <c r="L292">
        <f>MATCH(Tabla7[[#This Row],[AUX]],Loockup_ObrasGerencia[[#All],[aux]],0)</f>
        <v>296</v>
      </c>
      <c r="O292" t="str">
        <f>UPPER(GERENCIAS[[#This Row],[Gerente de obra]])</f>
        <v>SANCHEZ OSCAR</v>
      </c>
      <c r="R292" t="s">
        <v>670</v>
      </c>
      <c r="S292" t="s">
        <v>671</v>
      </c>
      <c r="T292" t="s">
        <v>53</v>
      </c>
      <c r="W292" s="8" t="s">
        <v>631</v>
      </c>
      <c r="X292" s="8" t="s">
        <v>630</v>
      </c>
      <c r="Y292" s="8" t="s">
        <v>17</v>
      </c>
      <c r="Z292" t="str">
        <f t="shared" si="4"/>
        <v>00000292SI</v>
      </c>
      <c r="AA292" s="11" t="e">
        <f>MATCH(Tabla9[[#This Row],[AUX]],Loockup_ObrasGerencia[[#All],[aux]],0)</f>
        <v>#N/A</v>
      </c>
    </row>
    <row r="293" spans="1:27" x14ac:dyDescent="0.25">
      <c r="A293" s="30" t="s">
        <v>633</v>
      </c>
      <c r="B293" s="30" t="s">
        <v>632</v>
      </c>
      <c r="C293" s="30" t="s">
        <v>17</v>
      </c>
      <c r="D293" s="30" t="str" cm="1">
        <f t="array" ref="D293">UPPER(_xlfn.XLOOKUP(Loockup_ObrasGerencia[[#This Row],[OBRA_PRONTO]],Tabla7[[#All],[Obra]],Tabla7[[#All],[Gerente de obra]],"Sin Obra Asignada",0))</f>
        <v>BARONE ALBERTO</v>
      </c>
      <c r="E293" s="31" t="str">
        <f>Loockup_ObrasGerencia[[#This Row],[OBRA_PRONTO]]&amp;Loockup_ObrasGerencia[[#This Row],[GERENCIA]]</f>
        <v>00000293BARONE ALBERTO</v>
      </c>
      <c r="H293" t="s">
        <v>641</v>
      </c>
      <c r="I293" t="s">
        <v>642</v>
      </c>
      <c r="J293" t="s">
        <v>79</v>
      </c>
      <c r="K293" t="str">
        <f>Tabla7[[#This Row],[Obra]]&amp;Tabla7[[#This Row],[Gerente de obra]]</f>
        <v>00000297Francisco Di Lisio</v>
      </c>
      <c r="L293">
        <f>MATCH(Tabla7[[#This Row],[AUX]],Loockup_ObrasGerencia[[#All],[aux]],0)</f>
        <v>297</v>
      </c>
      <c r="O293" t="str">
        <f>UPPER(GERENCIAS[[#This Row],[Gerente de obra]])</f>
        <v>SANCHEZ OSCAR</v>
      </c>
      <c r="R293" t="s">
        <v>672</v>
      </c>
      <c r="S293" t="s">
        <v>673</v>
      </c>
      <c r="T293" t="s">
        <v>53</v>
      </c>
      <c r="W293" s="8" t="s">
        <v>633</v>
      </c>
      <c r="X293" s="8" t="s">
        <v>632</v>
      </c>
      <c r="Y293" s="8" t="s">
        <v>17</v>
      </c>
      <c r="Z293" t="str">
        <f t="shared" si="4"/>
        <v>00000293SI</v>
      </c>
      <c r="AA293" s="11" t="e">
        <f>MATCH(Tabla9[[#This Row],[AUX]],Loockup_ObrasGerencia[[#All],[aux]],0)</f>
        <v>#N/A</v>
      </c>
    </row>
    <row r="294" spans="1:27" x14ac:dyDescent="0.25">
      <c r="A294" s="30" t="s">
        <v>636</v>
      </c>
      <c r="B294" s="30" t="s">
        <v>635</v>
      </c>
      <c r="C294" s="30" t="s">
        <v>17</v>
      </c>
      <c r="D294" s="30" t="str" cm="1">
        <f t="array" ref="D294">UPPER(_xlfn.XLOOKUP(Loockup_ObrasGerencia[[#This Row],[OBRA_PRONTO]],Tabla7[[#All],[Obra]],Tabla7[[#All],[Gerente de obra]],"Sin Obra Asignada",0))</f>
        <v>TRUJILLO</v>
      </c>
      <c r="E294" s="31" t="str">
        <f>Loockup_ObrasGerencia[[#This Row],[OBRA_PRONTO]]&amp;Loockup_ObrasGerencia[[#This Row],[GERENCIA]]</f>
        <v>00000294TRUJILLO</v>
      </c>
      <c r="H294" t="s">
        <v>643</v>
      </c>
      <c r="I294" t="s">
        <v>644</v>
      </c>
      <c r="J294" t="s">
        <v>79</v>
      </c>
      <c r="K294" t="str">
        <f>Tabla7[[#This Row],[Obra]]&amp;Tabla7[[#This Row],[Gerente de obra]]</f>
        <v>00000299Francisco Di Lisio</v>
      </c>
      <c r="L294">
        <f>MATCH(Tabla7[[#This Row],[AUX]],Loockup_ObrasGerencia[[#All],[aux]],0)</f>
        <v>299</v>
      </c>
      <c r="O294" t="str">
        <f>UPPER(GERENCIAS[[#This Row],[Gerente de obra]])</f>
        <v>SANCHEZ OSCAR</v>
      </c>
      <c r="R294" t="s">
        <v>674</v>
      </c>
      <c r="S294" t="s">
        <v>675</v>
      </c>
      <c r="T294" t="s">
        <v>53</v>
      </c>
      <c r="W294" s="8" t="s">
        <v>636</v>
      </c>
      <c r="X294" s="8" t="s">
        <v>635</v>
      </c>
      <c r="Y294" s="8" t="s">
        <v>17</v>
      </c>
      <c r="Z294" t="str">
        <f t="shared" si="4"/>
        <v>00000294SI</v>
      </c>
      <c r="AA294" s="11" t="e">
        <f>MATCH(Tabla9[[#This Row],[AUX]],Loockup_ObrasGerencia[[#All],[aux]],0)</f>
        <v>#N/A</v>
      </c>
    </row>
    <row r="295" spans="1:27" x14ac:dyDescent="0.25">
      <c r="A295" s="30" t="s">
        <v>638</v>
      </c>
      <c r="B295" s="30" t="s">
        <v>637</v>
      </c>
      <c r="C295" s="30" t="s">
        <v>17</v>
      </c>
      <c r="D295" s="30" t="str" cm="1">
        <f t="array" ref="D295">UPPER(_xlfn.XLOOKUP(Loockup_ObrasGerencia[[#This Row],[OBRA_PRONTO]],Tabla7[[#All],[Obra]],Tabla7[[#All],[Gerente de obra]],"Sin Obra Asignada",0))</f>
        <v>TRUJILLO</v>
      </c>
      <c r="E295" s="31" t="str">
        <f>Loockup_ObrasGerencia[[#This Row],[OBRA_PRONTO]]&amp;Loockup_ObrasGerencia[[#This Row],[GERENCIA]]</f>
        <v>00000295TRUJILLO</v>
      </c>
      <c r="H295" t="s">
        <v>645</v>
      </c>
      <c r="I295" t="s">
        <v>646</v>
      </c>
      <c r="J295" t="s">
        <v>79</v>
      </c>
      <c r="K295" t="str">
        <f>Tabla7[[#This Row],[Obra]]&amp;Tabla7[[#This Row],[Gerente de obra]]</f>
        <v>00000300Francisco Di Lisio</v>
      </c>
      <c r="L295">
        <f>MATCH(Tabla7[[#This Row],[AUX]],Loockup_ObrasGerencia[[#All],[aux]],0)</f>
        <v>300</v>
      </c>
      <c r="O295" t="str">
        <f>UPPER(GERENCIAS[[#This Row],[Gerente de obra]])</f>
        <v>FRANCISCO DI LISIO</v>
      </c>
      <c r="R295" t="s">
        <v>676</v>
      </c>
      <c r="S295" t="s">
        <v>677</v>
      </c>
      <c r="T295" t="s">
        <v>78</v>
      </c>
      <c r="W295" s="8" t="s">
        <v>638</v>
      </c>
      <c r="X295" s="8" t="s">
        <v>637</v>
      </c>
      <c r="Y295" s="8" t="s">
        <v>17</v>
      </c>
      <c r="Z295" t="str">
        <f t="shared" si="4"/>
        <v>00000295SI</v>
      </c>
      <c r="AA295" s="11" t="e">
        <f>MATCH(Tabla9[[#This Row],[AUX]],Loockup_ObrasGerencia[[#All],[aux]],0)</f>
        <v>#N/A</v>
      </c>
    </row>
    <row r="296" spans="1:27" x14ac:dyDescent="0.25">
      <c r="A296" s="30" t="s">
        <v>640</v>
      </c>
      <c r="B296" s="30" t="s">
        <v>639</v>
      </c>
      <c r="C296" s="30" t="s">
        <v>270</v>
      </c>
      <c r="D296" s="30" t="str" cm="1">
        <f t="array" ref="D296">UPPER(_xlfn.XLOOKUP(Loockup_ObrasGerencia[[#This Row],[OBRA_PRONTO]],Tabla7[[#All],[Obra]],Tabla7[[#All],[Gerente de obra]],"Sin Obra Asignada",0))</f>
        <v>FRANCISCO DI LISIO</v>
      </c>
      <c r="E296" s="31" t="str">
        <f>Loockup_ObrasGerencia[[#This Row],[OBRA_PRONTO]]&amp;Loockup_ObrasGerencia[[#This Row],[GERENCIA]]</f>
        <v>00000296FRANCISCO DI LISIO</v>
      </c>
      <c r="H296" t="s">
        <v>647</v>
      </c>
      <c r="I296" t="s">
        <v>648</v>
      </c>
      <c r="J296" t="s">
        <v>79</v>
      </c>
      <c r="K296" t="str">
        <f>Tabla7[[#This Row],[Obra]]&amp;Tabla7[[#This Row],[Gerente de obra]]</f>
        <v>00000301Francisco Di Lisio</v>
      </c>
      <c r="L296">
        <f>MATCH(Tabla7[[#This Row],[AUX]],Loockup_ObrasGerencia[[#All],[aux]],0)</f>
        <v>301</v>
      </c>
      <c r="O296" t="str">
        <f>UPPER(GERENCIAS[[#This Row],[Gerente de obra]])</f>
        <v>GONZALO SILVA</v>
      </c>
      <c r="R296" t="s">
        <v>678</v>
      </c>
      <c r="S296" t="s">
        <v>679</v>
      </c>
      <c r="T296" t="s">
        <v>368</v>
      </c>
      <c r="W296" s="8" t="s">
        <v>640</v>
      </c>
      <c r="X296" s="8" t="s">
        <v>639</v>
      </c>
      <c r="Y296" s="8" t="s">
        <v>270</v>
      </c>
      <c r="Z296" t="str">
        <f t="shared" si="4"/>
        <v>00000296ACTIVOS</v>
      </c>
      <c r="AA296" s="11" t="e">
        <f>MATCH(Tabla9[[#This Row],[AUX]],Loockup_ObrasGerencia[[#All],[aux]],0)</f>
        <v>#N/A</v>
      </c>
    </row>
    <row r="297" spans="1:27" x14ac:dyDescent="0.25">
      <c r="A297" s="30" t="s">
        <v>642</v>
      </c>
      <c r="B297" s="30" t="s">
        <v>641</v>
      </c>
      <c r="C297" s="30" t="s">
        <v>267</v>
      </c>
      <c r="D297" s="30" t="str" cm="1">
        <f t="array" ref="D297">UPPER(_xlfn.XLOOKUP(Loockup_ObrasGerencia[[#This Row],[OBRA_PRONTO]],Tabla7[[#All],[Obra]],Tabla7[[#All],[Gerente de obra]],"Sin Obra Asignada",0))</f>
        <v>FRANCISCO DI LISIO</v>
      </c>
      <c r="E297" s="31" t="str">
        <f>Loockup_ObrasGerencia[[#This Row],[OBRA_PRONTO]]&amp;Loockup_ObrasGerencia[[#This Row],[GERENCIA]]</f>
        <v>00000297FRANCISCO DI LISIO</v>
      </c>
      <c r="H297" t="s">
        <v>649</v>
      </c>
      <c r="I297" t="s">
        <v>650</v>
      </c>
      <c r="J297" t="s">
        <v>79</v>
      </c>
      <c r="K297" t="str">
        <f>Tabla7[[#This Row],[Obra]]&amp;Tabla7[[#This Row],[Gerente de obra]]</f>
        <v>00000302Francisco Di Lisio</v>
      </c>
      <c r="L297">
        <f>MATCH(Tabla7[[#This Row],[AUX]],Loockup_ObrasGerencia[[#All],[aux]],0)</f>
        <v>302</v>
      </c>
      <c r="O297" t="str">
        <f>UPPER(GERENCIAS[[#This Row],[Gerente de obra]])</f>
        <v>FRANCISCO DI LISIO</v>
      </c>
      <c r="R297" t="s">
        <v>680</v>
      </c>
      <c r="S297" t="s">
        <v>681</v>
      </c>
      <c r="T297" t="s">
        <v>78</v>
      </c>
      <c r="W297" s="8" t="s">
        <v>642</v>
      </c>
      <c r="X297" s="8" t="s">
        <v>641</v>
      </c>
      <c r="Y297" s="8" t="s">
        <v>270</v>
      </c>
      <c r="Z297" t="str">
        <f t="shared" si="4"/>
        <v>00000297ACTIVOS</v>
      </c>
      <c r="AA297" s="11" t="e">
        <f>MATCH(Tabla9[[#This Row],[AUX]],Loockup_ObrasGerencia[[#All],[aux]],0)</f>
        <v>#N/A</v>
      </c>
    </row>
    <row r="298" spans="1:27" x14ac:dyDescent="0.25">
      <c r="A298" s="30" t="s">
        <v>682</v>
      </c>
      <c r="B298" s="30" t="s">
        <v>683</v>
      </c>
      <c r="C298" s="30" t="s">
        <v>64</v>
      </c>
      <c r="D298" s="30" t="str" cm="1">
        <f t="array" ref="D298">UPPER(_xlfn.XLOOKUP(Loockup_ObrasGerencia[[#This Row],[OBRA_PRONTO]],Tabla7[[#All],[Obra]],Tabla7[[#All],[Gerente de obra]],"Sin Obra Asignada",0))</f>
        <v>SIN OBRA ASIGNADA</v>
      </c>
      <c r="E298" s="31" t="str">
        <f>Loockup_ObrasGerencia[[#This Row],[OBRA_PRONTO]]&amp;Loockup_ObrasGerencia[[#This Row],[GERENCIA]]</f>
        <v>00000298SIN OBRA ASIGNADA</v>
      </c>
      <c r="H298" t="s">
        <v>651</v>
      </c>
      <c r="I298" t="s">
        <v>652</v>
      </c>
      <c r="J298" t="s">
        <v>79</v>
      </c>
      <c r="K298" t="str">
        <f>Tabla7[[#This Row],[Obra]]&amp;Tabla7[[#This Row],[Gerente de obra]]</f>
        <v>00000303Francisco Di Lisio</v>
      </c>
      <c r="L298">
        <f>MATCH(Tabla7[[#This Row],[AUX]],Loockup_ObrasGerencia[[#All],[aux]],0)</f>
        <v>303</v>
      </c>
      <c r="O298" t="str">
        <f>UPPER(GERENCIAS[[#This Row],[Gerente de obra]])</f>
        <v>ORTIZ JUAN MANUEL</v>
      </c>
      <c r="R298" t="s">
        <v>684</v>
      </c>
      <c r="S298" t="s">
        <v>685</v>
      </c>
      <c r="T298" t="s">
        <v>19</v>
      </c>
      <c r="W298" s="8" t="s">
        <v>682</v>
      </c>
      <c r="X298" s="8" t="s">
        <v>683</v>
      </c>
      <c r="Y298" s="8" t="s">
        <v>64</v>
      </c>
      <c r="Z298" t="str">
        <f t="shared" si="4"/>
        <v>00000298ADMINISTRACION</v>
      </c>
      <c r="AA298" s="11" t="e">
        <f>MATCH(Tabla9[[#This Row],[AUX]],Loockup_ObrasGerencia[[#All],[aux]],0)</f>
        <v>#N/A</v>
      </c>
    </row>
    <row r="299" spans="1:27" x14ac:dyDescent="0.25">
      <c r="A299" s="30" t="s">
        <v>644</v>
      </c>
      <c r="B299" s="30" t="s">
        <v>643</v>
      </c>
      <c r="C299" s="30" t="s">
        <v>634</v>
      </c>
      <c r="D299" s="30" t="str" cm="1">
        <f t="array" ref="D299">UPPER(_xlfn.XLOOKUP(Loockup_ObrasGerencia[[#This Row],[OBRA_PRONTO]],Tabla7[[#All],[Obra]],Tabla7[[#All],[Gerente de obra]],"Sin Obra Asignada",0))</f>
        <v>FRANCISCO DI LISIO</v>
      </c>
      <c r="E299" s="31" t="str">
        <f>Loockup_ObrasGerencia[[#This Row],[OBRA_PRONTO]]&amp;Loockup_ObrasGerencia[[#This Row],[GERENCIA]]</f>
        <v>00000299FRANCISCO DI LISIO</v>
      </c>
      <c r="H299" t="s">
        <v>653</v>
      </c>
      <c r="I299" t="s">
        <v>654</v>
      </c>
      <c r="J299" t="s">
        <v>79</v>
      </c>
      <c r="K299" t="str">
        <f>Tabla7[[#This Row],[Obra]]&amp;Tabla7[[#This Row],[Gerente de obra]]</f>
        <v>00000304Francisco Di Lisio</v>
      </c>
      <c r="L299">
        <f>MATCH(Tabla7[[#This Row],[AUX]],Loockup_ObrasGerencia[[#All],[aux]],0)</f>
        <v>304</v>
      </c>
      <c r="O299" t="str">
        <f>UPPER(GERENCIAS[[#This Row],[Gerente de obra]])</f>
        <v>FRANCISCO DI LISIO</v>
      </c>
      <c r="R299" t="s">
        <v>686</v>
      </c>
      <c r="S299" t="s">
        <v>687</v>
      </c>
      <c r="T299" t="s">
        <v>78</v>
      </c>
      <c r="W299" s="8" t="s">
        <v>644</v>
      </c>
      <c r="X299" s="8" t="s">
        <v>643</v>
      </c>
      <c r="Y299" s="8" t="s">
        <v>634</v>
      </c>
      <c r="Z299" t="str">
        <f t="shared" si="4"/>
        <v>00000299COMPENSABLE GASTOS DE SEDE</v>
      </c>
      <c r="AA299" s="11" t="e">
        <f>MATCH(Tabla9[[#This Row],[AUX]],Loockup_ObrasGerencia[[#All],[aux]],0)</f>
        <v>#N/A</v>
      </c>
    </row>
    <row r="300" spans="1:27" x14ac:dyDescent="0.25">
      <c r="A300" s="30" t="s">
        <v>646</v>
      </c>
      <c r="B300" s="30" t="s">
        <v>645</v>
      </c>
      <c r="C300" s="30" t="s">
        <v>634</v>
      </c>
      <c r="D300" s="30" t="str" cm="1">
        <f t="array" ref="D300">UPPER(_xlfn.XLOOKUP(Loockup_ObrasGerencia[[#This Row],[OBRA_PRONTO]],Tabla7[[#All],[Obra]],Tabla7[[#All],[Gerente de obra]],"Sin Obra Asignada",0))</f>
        <v>FRANCISCO DI LISIO</v>
      </c>
      <c r="E300" s="31" t="str">
        <f>Loockup_ObrasGerencia[[#This Row],[OBRA_PRONTO]]&amp;Loockup_ObrasGerencia[[#This Row],[GERENCIA]]</f>
        <v>00000300FRANCISCO DI LISIO</v>
      </c>
      <c r="H300" t="s">
        <v>655</v>
      </c>
      <c r="I300" t="s">
        <v>656</v>
      </c>
      <c r="J300" t="s">
        <v>79</v>
      </c>
      <c r="K300" t="str">
        <f>Tabla7[[#This Row],[Obra]]&amp;Tabla7[[#This Row],[Gerente de obra]]</f>
        <v>00000305Francisco Di Lisio</v>
      </c>
      <c r="L300">
        <f>MATCH(Tabla7[[#This Row],[AUX]],Loockup_ObrasGerencia[[#All],[aux]],0)</f>
        <v>305</v>
      </c>
      <c r="O300" t="str">
        <f>UPPER(GERENCIAS[[#This Row],[Gerente de obra]])</f>
        <v>FRANCISCO DI LISIO</v>
      </c>
      <c r="R300" t="s">
        <v>688</v>
      </c>
      <c r="S300" t="s">
        <v>689</v>
      </c>
      <c r="T300" t="s">
        <v>78</v>
      </c>
      <c r="W300" s="8" t="s">
        <v>646</v>
      </c>
      <c r="X300" s="8" t="s">
        <v>645</v>
      </c>
      <c r="Y300" s="8" t="s">
        <v>634</v>
      </c>
      <c r="Z300" t="str">
        <f t="shared" si="4"/>
        <v>00000300COMPENSABLE GASTOS DE SEDE</v>
      </c>
      <c r="AA300" s="11" t="e">
        <f>MATCH(Tabla9[[#This Row],[AUX]],Loockup_ObrasGerencia[[#All],[aux]],0)</f>
        <v>#N/A</v>
      </c>
    </row>
    <row r="301" spans="1:27" x14ac:dyDescent="0.25">
      <c r="A301" s="30" t="s">
        <v>648</v>
      </c>
      <c r="B301" s="30" t="s">
        <v>647</v>
      </c>
      <c r="C301" s="30" t="s">
        <v>634</v>
      </c>
      <c r="D301" s="30" t="str" cm="1">
        <f t="array" ref="D301">UPPER(_xlfn.XLOOKUP(Loockup_ObrasGerencia[[#This Row],[OBRA_PRONTO]],Tabla7[[#All],[Obra]],Tabla7[[#All],[Gerente de obra]],"Sin Obra Asignada",0))</f>
        <v>FRANCISCO DI LISIO</v>
      </c>
      <c r="E301" s="31" t="str">
        <f>Loockup_ObrasGerencia[[#This Row],[OBRA_PRONTO]]&amp;Loockup_ObrasGerencia[[#This Row],[GERENCIA]]</f>
        <v>00000301FRANCISCO DI LISIO</v>
      </c>
      <c r="H301" t="s">
        <v>657</v>
      </c>
      <c r="I301" t="s">
        <v>658</v>
      </c>
      <c r="J301" t="s">
        <v>79</v>
      </c>
      <c r="K301" t="str">
        <f>Tabla7[[#This Row],[Obra]]&amp;Tabla7[[#This Row],[Gerente de obra]]</f>
        <v>00000306Francisco Di Lisio</v>
      </c>
      <c r="L301">
        <f>MATCH(Tabla7[[#This Row],[AUX]],Loockup_ObrasGerencia[[#All],[aux]],0)</f>
        <v>306</v>
      </c>
      <c r="O301" t="str">
        <f>UPPER(GERENCIAS[[#This Row],[Gerente de obra]])</f>
        <v>TRUJILLO</v>
      </c>
      <c r="R301" t="s">
        <v>690</v>
      </c>
      <c r="S301" t="s">
        <v>691</v>
      </c>
      <c r="T301" t="s">
        <v>25</v>
      </c>
      <c r="W301" s="8" t="s">
        <v>648</v>
      </c>
      <c r="X301" s="8" t="s">
        <v>647</v>
      </c>
      <c r="Y301" s="8" t="s">
        <v>634</v>
      </c>
      <c r="Z301" t="str">
        <f t="shared" si="4"/>
        <v>00000301COMPENSABLE GASTOS DE SEDE</v>
      </c>
      <c r="AA301" s="11" t="e">
        <f>MATCH(Tabla9[[#This Row],[AUX]],Loockup_ObrasGerencia[[#All],[aux]],0)</f>
        <v>#N/A</v>
      </c>
    </row>
    <row r="302" spans="1:27" x14ac:dyDescent="0.25">
      <c r="A302" s="30" t="s">
        <v>650</v>
      </c>
      <c r="B302" s="30" t="s">
        <v>649</v>
      </c>
      <c r="C302" s="30" t="s">
        <v>634</v>
      </c>
      <c r="D302" s="30" t="str" cm="1">
        <f t="array" ref="D302">UPPER(_xlfn.XLOOKUP(Loockup_ObrasGerencia[[#This Row],[OBRA_PRONTO]],Tabla7[[#All],[Obra]],Tabla7[[#All],[Gerente de obra]],"Sin Obra Asignada",0))</f>
        <v>FRANCISCO DI LISIO</v>
      </c>
      <c r="E302" s="31" t="str">
        <f>Loockup_ObrasGerencia[[#This Row],[OBRA_PRONTO]]&amp;Loockup_ObrasGerencia[[#This Row],[GERENCIA]]</f>
        <v>00000302FRANCISCO DI LISIO</v>
      </c>
      <c r="H302" t="s">
        <v>659</v>
      </c>
      <c r="I302" t="s">
        <v>660</v>
      </c>
      <c r="J302" t="s">
        <v>79</v>
      </c>
      <c r="K302" t="str">
        <f>Tabla7[[#This Row],[Obra]]&amp;Tabla7[[#This Row],[Gerente de obra]]</f>
        <v>00000307Francisco Di Lisio</v>
      </c>
      <c r="L302">
        <f>MATCH(Tabla7[[#This Row],[AUX]],Loockup_ObrasGerencia[[#All],[aux]],0)</f>
        <v>307</v>
      </c>
      <c r="O302" t="str">
        <f>UPPER(GERENCIAS[[#This Row],[Gerente de obra]])</f>
        <v>TRUJILLO</v>
      </c>
      <c r="R302" t="s">
        <v>692</v>
      </c>
      <c r="S302" t="s">
        <v>693</v>
      </c>
      <c r="T302" t="s">
        <v>25</v>
      </c>
      <c r="W302" s="8" t="s">
        <v>650</v>
      </c>
      <c r="X302" s="8" t="s">
        <v>649</v>
      </c>
      <c r="Y302" s="8" t="s">
        <v>634</v>
      </c>
      <c r="Z302" t="str">
        <f t="shared" si="4"/>
        <v>00000302COMPENSABLE GASTOS DE SEDE</v>
      </c>
      <c r="AA302" s="11" t="e">
        <f>MATCH(Tabla9[[#This Row],[AUX]],Loockup_ObrasGerencia[[#All],[aux]],0)</f>
        <v>#N/A</v>
      </c>
    </row>
    <row r="303" spans="1:27" x14ac:dyDescent="0.25">
      <c r="A303" s="30" t="s">
        <v>652</v>
      </c>
      <c r="B303" s="30" t="s">
        <v>651</v>
      </c>
      <c r="C303" s="30" t="s">
        <v>634</v>
      </c>
      <c r="D303" s="30" t="str" cm="1">
        <f t="array" ref="D303">UPPER(_xlfn.XLOOKUP(Loockup_ObrasGerencia[[#This Row],[OBRA_PRONTO]],Tabla7[[#All],[Obra]],Tabla7[[#All],[Gerente de obra]],"Sin Obra Asignada",0))</f>
        <v>FRANCISCO DI LISIO</v>
      </c>
      <c r="E303" s="31" t="str">
        <f>Loockup_ObrasGerencia[[#This Row],[OBRA_PRONTO]]&amp;Loockup_ObrasGerencia[[#This Row],[GERENCIA]]</f>
        <v>00000303FRANCISCO DI LISIO</v>
      </c>
      <c r="H303" t="s">
        <v>661</v>
      </c>
      <c r="I303" t="s">
        <v>662</v>
      </c>
      <c r="J303" t="s">
        <v>79</v>
      </c>
      <c r="K303" t="str">
        <f>Tabla7[[#This Row],[Obra]]&amp;Tabla7[[#This Row],[Gerente de obra]]</f>
        <v>00000308Francisco Di Lisio</v>
      </c>
      <c r="L303">
        <f>MATCH(Tabla7[[#This Row],[AUX]],Loockup_ObrasGerencia[[#All],[aux]],0)</f>
        <v>308</v>
      </c>
      <c r="O303" t="str">
        <f>UPPER(GERENCIAS[[#This Row],[Gerente de obra]])</f>
        <v>TRUJILLO</v>
      </c>
      <c r="R303" t="s">
        <v>694</v>
      </c>
      <c r="S303" t="s">
        <v>695</v>
      </c>
      <c r="T303" t="s">
        <v>25</v>
      </c>
      <c r="W303" s="8" t="s">
        <v>652</v>
      </c>
      <c r="X303" s="8" t="s">
        <v>651</v>
      </c>
      <c r="Y303" s="8" t="s">
        <v>64</v>
      </c>
      <c r="Z303" t="str">
        <f t="shared" si="4"/>
        <v>00000303ADMINISTRACION</v>
      </c>
      <c r="AA303" s="11" t="e">
        <f>MATCH(Tabla9[[#This Row],[AUX]],Loockup_ObrasGerencia[[#All],[aux]],0)</f>
        <v>#N/A</v>
      </c>
    </row>
    <row r="304" spans="1:27" x14ac:dyDescent="0.25">
      <c r="A304" s="30" t="s">
        <v>654</v>
      </c>
      <c r="B304" s="30" t="s">
        <v>653</v>
      </c>
      <c r="C304" s="30" t="s">
        <v>634</v>
      </c>
      <c r="D304" s="30" t="str" cm="1">
        <f t="array" ref="D304">UPPER(_xlfn.XLOOKUP(Loockup_ObrasGerencia[[#This Row],[OBRA_PRONTO]],Tabla7[[#All],[Obra]],Tabla7[[#All],[Gerente de obra]],"Sin Obra Asignada",0))</f>
        <v>FRANCISCO DI LISIO</v>
      </c>
      <c r="E304" s="31" t="str">
        <f>Loockup_ObrasGerencia[[#This Row],[OBRA_PRONTO]]&amp;Loockup_ObrasGerencia[[#This Row],[GERENCIA]]</f>
        <v>00000304FRANCISCO DI LISIO</v>
      </c>
      <c r="H304" t="s">
        <v>663</v>
      </c>
      <c r="I304" t="s">
        <v>664</v>
      </c>
      <c r="J304" t="s">
        <v>79</v>
      </c>
      <c r="K304" t="str">
        <f>Tabla7[[#This Row],[Obra]]&amp;Tabla7[[#This Row],[Gerente de obra]]</f>
        <v>00000309Francisco Di Lisio</v>
      </c>
      <c r="L304">
        <f>MATCH(Tabla7[[#This Row],[AUX]],Loockup_ObrasGerencia[[#All],[aux]],0)</f>
        <v>309</v>
      </c>
      <c r="O304" t="str">
        <f>UPPER(GERENCIAS[[#This Row],[Gerente de obra]])</f>
        <v>TRUJILLO</v>
      </c>
      <c r="R304" t="s">
        <v>696</v>
      </c>
      <c r="S304" t="s">
        <v>697</v>
      </c>
      <c r="T304" t="s">
        <v>25</v>
      </c>
      <c r="W304" s="8" t="s">
        <v>654</v>
      </c>
      <c r="X304" s="8" t="s">
        <v>653</v>
      </c>
      <c r="Y304" s="8" t="s">
        <v>634</v>
      </c>
      <c r="Z304" t="str">
        <f t="shared" si="4"/>
        <v>00000304COMPENSABLE GASTOS DE SEDE</v>
      </c>
      <c r="AA304" s="11" t="e">
        <f>MATCH(Tabla9[[#This Row],[AUX]],Loockup_ObrasGerencia[[#All],[aux]],0)</f>
        <v>#N/A</v>
      </c>
    </row>
    <row r="305" spans="1:27" x14ac:dyDescent="0.25">
      <c r="A305" s="30" t="s">
        <v>656</v>
      </c>
      <c r="B305" s="30" t="s">
        <v>655</v>
      </c>
      <c r="C305" s="30" t="s">
        <v>634</v>
      </c>
      <c r="D305" s="30" t="str" cm="1">
        <f t="array" ref="D305">UPPER(_xlfn.XLOOKUP(Loockup_ObrasGerencia[[#This Row],[OBRA_PRONTO]],Tabla7[[#All],[Obra]],Tabla7[[#All],[Gerente de obra]],"Sin Obra Asignada",0))</f>
        <v>FRANCISCO DI LISIO</v>
      </c>
      <c r="E305" s="31" t="str">
        <f>Loockup_ObrasGerencia[[#This Row],[OBRA_PRONTO]]&amp;Loockup_ObrasGerencia[[#This Row],[GERENCIA]]</f>
        <v>00000305FRANCISCO DI LISIO</v>
      </c>
      <c r="H305" t="s">
        <v>665</v>
      </c>
      <c r="I305" t="s">
        <v>270</v>
      </c>
      <c r="J305" t="s">
        <v>79</v>
      </c>
      <c r="K305" t="str">
        <f>Tabla7[[#This Row],[Obra]]&amp;Tabla7[[#This Row],[Gerente de obra]]</f>
        <v>00000310Francisco Di Lisio</v>
      </c>
      <c r="L305">
        <f>MATCH(Tabla7[[#This Row],[AUX]],Loockup_ObrasGerencia[[#All],[aux]],0)</f>
        <v>310</v>
      </c>
      <c r="O305" t="str">
        <f>UPPER(GERENCIAS[[#This Row],[Gerente de obra]])</f>
        <v>CATRIEL GISELA</v>
      </c>
      <c r="R305" t="s">
        <v>698</v>
      </c>
      <c r="S305" t="s">
        <v>699</v>
      </c>
      <c r="T305" t="s">
        <v>243</v>
      </c>
      <c r="W305" s="8" t="s">
        <v>656</v>
      </c>
      <c r="X305" s="8" t="s">
        <v>655</v>
      </c>
      <c r="Y305" s="8" t="s">
        <v>634</v>
      </c>
      <c r="Z305" t="str">
        <f t="shared" si="4"/>
        <v>00000305COMPENSABLE GASTOS DE SEDE</v>
      </c>
      <c r="AA305" s="11" t="e">
        <f>MATCH(Tabla9[[#This Row],[AUX]],Loockup_ObrasGerencia[[#All],[aux]],0)</f>
        <v>#N/A</v>
      </c>
    </row>
    <row r="306" spans="1:27" x14ac:dyDescent="0.25">
      <c r="A306" s="30" t="s">
        <v>658</v>
      </c>
      <c r="B306" s="30" t="s">
        <v>657</v>
      </c>
      <c r="C306" s="30" t="s">
        <v>634</v>
      </c>
      <c r="D306" s="30" t="str" cm="1">
        <f t="array" ref="D306">UPPER(_xlfn.XLOOKUP(Loockup_ObrasGerencia[[#This Row],[OBRA_PRONTO]],Tabla7[[#All],[Obra]],Tabla7[[#All],[Gerente de obra]],"Sin Obra Asignada",0))</f>
        <v>FRANCISCO DI LISIO</v>
      </c>
      <c r="E306" s="31" t="str">
        <f>Loockup_ObrasGerencia[[#This Row],[OBRA_PRONTO]]&amp;Loockup_ObrasGerencia[[#This Row],[GERENCIA]]</f>
        <v>00000306FRANCISCO DI LISIO</v>
      </c>
      <c r="H306" t="s">
        <v>668</v>
      </c>
      <c r="I306" t="s">
        <v>669</v>
      </c>
      <c r="J306" t="s">
        <v>79</v>
      </c>
      <c r="K306" t="str">
        <f>Tabla7[[#This Row],[Obra]]&amp;Tabla7[[#This Row],[Gerente de obra]]</f>
        <v>00000311Francisco Di Lisio</v>
      </c>
      <c r="L306">
        <f>MATCH(Tabla7[[#This Row],[AUX]],Loockup_ObrasGerencia[[#All],[aux]],0)</f>
        <v>311</v>
      </c>
      <c r="O306" t="str">
        <f>UPPER(GERENCIAS[[#This Row],[Gerente de obra]])</f>
        <v>FRANCISCO DI LISIO</v>
      </c>
      <c r="R306" t="s">
        <v>700</v>
      </c>
      <c r="S306" t="s">
        <v>701</v>
      </c>
      <c r="T306" t="s">
        <v>78</v>
      </c>
      <c r="W306" s="8" t="s">
        <v>658</v>
      </c>
      <c r="X306" s="8" t="s">
        <v>657</v>
      </c>
      <c r="Y306" s="8" t="s">
        <v>634</v>
      </c>
      <c r="Z306" t="str">
        <f t="shared" si="4"/>
        <v>00000306COMPENSABLE GASTOS DE SEDE</v>
      </c>
      <c r="AA306" s="11" t="e">
        <f>MATCH(Tabla9[[#This Row],[AUX]],Loockup_ObrasGerencia[[#All],[aux]],0)</f>
        <v>#N/A</v>
      </c>
    </row>
    <row r="307" spans="1:27" x14ac:dyDescent="0.25">
      <c r="A307" s="30" t="s">
        <v>660</v>
      </c>
      <c r="B307" s="30" t="s">
        <v>659</v>
      </c>
      <c r="C307" s="30" t="s">
        <v>634</v>
      </c>
      <c r="D307" s="30" t="str" cm="1">
        <f t="array" ref="D307">UPPER(_xlfn.XLOOKUP(Loockup_ObrasGerencia[[#This Row],[OBRA_PRONTO]],Tabla7[[#All],[Obra]],Tabla7[[#All],[Gerente de obra]],"Sin Obra Asignada",0))</f>
        <v>FRANCISCO DI LISIO</v>
      </c>
      <c r="E307" s="31" t="str">
        <f>Loockup_ObrasGerencia[[#This Row],[OBRA_PRONTO]]&amp;Loockup_ObrasGerencia[[#This Row],[GERENCIA]]</f>
        <v>00000307FRANCISCO DI LISIO</v>
      </c>
      <c r="H307" t="s">
        <v>670</v>
      </c>
      <c r="I307" t="s">
        <v>671</v>
      </c>
      <c r="J307" t="s">
        <v>52</v>
      </c>
      <c r="K307" t="str">
        <f>Tabla7[[#This Row],[Obra]]&amp;Tabla7[[#This Row],[Gerente de obra]]</f>
        <v>00000312Sanchez Oscar</v>
      </c>
      <c r="L307">
        <f>MATCH(Tabla7[[#This Row],[AUX]],Loockup_ObrasGerencia[[#All],[aux]],0)</f>
        <v>312</v>
      </c>
      <c r="O307" t="str">
        <f>UPPER(GERENCIAS[[#This Row],[Gerente de obra]])</f>
        <v>FRANCISCO DI LISIO</v>
      </c>
      <c r="R307" t="s">
        <v>702</v>
      </c>
      <c r="S307" t="s">
        <v>703</v>
      </c>
      <c r="T307" t="s">
        <v>78</v>
      </c>
      <c r="W307" s="8" t="s">
        <v>660</v>
      </c>
      <c r="X307" s="8" t="s">
        <v>659</v>
      </c>
      <c r="Y307" s="8" t="s">
        <v>634</v>
      </c>
      <c r="Z307" t="str">
        <f t="shared" si="4"/>
        <v>00000307COMPENSABLE GASTOS DE SEDE</v>
      </c>
      <c r="AA307" s="11" t="e">
        <f>MATCH(Tabla9[[#This Row],[AUX]],Loockup_ObrasGerencia[[#All],[aux]],0)</f>
        <v>#N/A</v>
      </c>
    </row>
    <row r="308" spans="1:27" x14ac:dyDescent="0.25">
      <c r="A308" s="30" t="s">
        <v>662</v>
      </c>
      <c r="B308" s="30" t="s">
        <v>661</v>
      </c>
      <c r="C308" s="30" t="s">
        <v>634</v>
      </c>
      <c r="D308" s="30" t="str" cm="1">
        <f t="array" ref="D308">UPPER(_xlfn.XLOOKUP(Loockup_ObrasGerencia[[#This Row],[OBRA_PRONTO]],Tabla7[[#All],[Obra]],Tabla7[[#All],[Gerente de obra]],"Sin Obra Asignada",0))</f>
        <v>FRANCISCO DI LISIO</v>
      </c>
      <c r="E308" s="31" t="str">
        <f>Loockup_ObrasGerencia[[#This Row],[OBRA_PRONTO]]&amp;Loockup_ObrasGerencia[[#This Row],[GERENCIA]]</f>
        <v>00000308FRANCISCO DI LISIO</v>
      </c>
      <c r="H308" t="s">
        <v>672</v>
      </c>
      <c r="I308" t="s">
        <v>673</v>
      </c>
      <c r="J308" t="s">
        <v>52</v>
      </c>
      <c r="K308" t="str">
        <f>Tabla7[[#This Row],[Obra]]&amp;Tabla7[[#This Row],[Gerente de obra]]</f>
        <v>00000313Sanchez Oscar</v>
      </c>
      <c r="L308">
        <f>MATCH(Tabla7[[#This Row],[AUX]],Loockup_ObrasGerencia[[#All],[aux]],0)</f>
        <v>313</v>
      </c>
      <c r="O308" t="str">
        <f>UPPER(GERENCIAS[[#This Row],[Gerente de obra]])</f>
        <v>FRANCISCO DI LISIO</v>
      </c>
      <c r="R308" t="s">
        <v>704</v>
      </c>
      <c r="S308" t="s">
        <v>705</v>
      </c>
      <c r="T308" t="s">
        <v>78</v>
      </c>
      <c r="W308" s="8" t="s">
        <v>662</v>
      </c>
      <c r="X308" s="8" t="s">
        <v>661</v>
      </c>
      <c r="Y308" s="8" t="s">
        <v>634</v>
      </c>
      <c r="Z308" t="str">
        <f t="shared" si="4"/>
        <v>00000308COMPENSABLE GASTOS DE SEDE</v>
      </c>
      <c r="AA308" s="11" t="e">
        <f>MATCH(Tabla9[[#This Row],[AUX]],Loockup_ObrasGerencia[[#All],[aux]],0)</f>
        <v>#N/A</v>
      </c>
    </row>
    <row r="309" spans="1:27" x14ac:dyDescent="0.25">
      <c r="A309" s="30" t="s">
        <v>664</v>
      </c>
      <c r="B309" s="30" t="s">
        <v>663</v>
      </c>
      <c r="C309" s="30" t="s">
        <v>634</v>
      </c>
      <c r="D309" s="30" t="str" cm="1">
        <f t="array" ref="D309">UPPER(_xlfn.XLOOKUP(Loockup_ObrasGerencia[[#This Row],[OBRA_PRONTO]],Tabla7[[#All],[Obra]],Tabla7[[#All],[Gerente de obra]],"Sin Obra Asignada",0))</f>
        <v>FRANCISCO DI LISIO</v>
      </c>
      <c r="E309" s="31" t="str">
        <f>Loockup_ObrasGerencia[[#This Row],[OBRA_PRONTO]]&amp;Loockup_ObrasGerencia[[#This Row],[GERENCIA]]</f>
        <v>00000309FRANCISCO DI LISIO</v>
      </c>
      <c r="H309" t="s">
        <v>674</v>
      </c>
      <c r="I309" t="s">
        <v>675</v>
      </c>
      <c r="J309" t="s">
        <v>52</v>
      </c>
      <c r="K309" t="str">
        <f>Tabla7[[#This Row],[Obra]]&amp;Tabla7[[#This Row],[Gerente de obra]]</f>
        <v>00000314Sanchez Oscar</v>
      </c>
      <c r="L309">
        <f>MATCH(Tabla7[[#This Row],[AUX]],Loockup_ObrasGerencia[[#All],[aux]],0)</f>
        <v>314</v>
      </c>
      <c r="O309" t="str">
        <f>UPPER(GERENCIAS[[#This Row],[Gerente de obra]])</f>
        <v>FRANCISCO DI LISIO</v>
      </c>
      <c r="R309" t="s">
        <v>706</v>
      </c>
      <c r="S309" t="s">
        <v>707</v>
      </c>
      <c r="T309" t="s">
        <v>78</v>
      </c>
      <c r="W309" s="8" t="s">
        <v>664</v>
      </c>
      <c r="X309" s="8" t="s">
        <v>663</v>
      </c>
      <c r="Y309" s="8" t="s">
        <v>634</v>
      </c>
      <c r="Z309" t="str">
        <f t="shared" si="4"/>
        <v>00000309COMPENSABLE GASTOS DE SEDE</v>
      </c>
      <c r="AA309" s="11" t="e">
        <f>MATCH(Tabla9[[#This Row],[AUX]],Loockup_ObrasGerencia[[#All],[aux]],0)</f>
        <v>#N/A</v>
      </c>
    </row>
    <row r="310" spans="1:27" x14ac:dyDescent="0.25">
      <c r="A310" s="30" t="s">
        <v>270</v>
      </c>
      <c r="B310" s="30" t="s">
        <v>665</v>
      </c>
      <c r="C310" s="30" t="s">
        <v>270</v>
      </c>
      <c r="D310" s="30" t="str" cm="1">
        <f t="array" ref="D310">UPPER(_xlfn.XLOOKUP(Loockup_ObrasGerencia[[#This Row],[OBRA_PRONTO]],Tabla7[[#All],[Obra]],Tabla7[[#All],[Gerente de obra]],"Sin Obra Asignada",0))</f>
        <v>FRANCISCO DI LISIO</v>
      </c>
      <c r="E310" s="31" t="str">
        <f>Loockup_ObrasGerencia[[#This Row],[OBRA_PRONTO]]&amp;Loockup_ObrasGerencia[[#This Row],[GERENCIA]]</f>
        <v>00000310FRANCISCO DI LISIO</v>
      </c>
      <c r="H310" t="s">
        <v>676</v>
      </c>
      <c r="I310" t="s">
        <v>677</v>
      </c>
      <c r="J310" t="s">
        <v>79</v>
      </c>
      <c r="K310" t="str">
        <f>Tabla7[[#This Row],[Obra]]&amp;Tabla7[[#This Row],[Gerente de obra]]</f>
        <v>00000315Francisco Di Lisio</v>
      </c>
      <c r="L310">
        <f>MATCH(Tabla7[[#This Row],[AUX]],Loockup_ObrasGerencia[[#All],[aux]],0)</f>
        <v>315</v>
      </c>
      <c r="O310" t="str">
        <f>UPPER(GERENCIAS[[#This Row],[Gerente de obra]])</f>
        <v>FRANCISCO DI LISIO</v>
      </c>
      <c r="R310" t="s">
        <v>708</v>
      </c>
      <c r="S310" t="s">
        <v>709</v>
      </c>
      <c r="T310" t="s">
        <v>78</v>
      </c>
      <c r="W310" s="8" t="s">
        <v>270</v>
      </c>
      <c r="X310" s="8" t="s">
        <v>665</v>
      </c>
      <c r="Y310" s="8" t="s">
        <v>270</v>
      </c>
      <c r="Z310" t="str">
        <f t="shared" si="4"/>
        <v>00000310ACTIVOS</v>
      </c>
      <c r="AA310" s="11" t="e">
        <f>MATCH(Tabla9[[#This Row],[AUX]],Loockup_ObrasGerencia[[#All],[aux]],0)</f>
        <v>#N/A</v>
      </c>
    </row>
    <row r="311" spans="1:27" x14ac:dyDescent="0.25">
      <c r="A311" s="30" t="s">
        <v>669</v>
      </c>
      <c r="B311" s="30" t="s">
        <v>668</v>
      </c>
      <c r="C311" s="30" t="s">
        <v>270</v>
      </c>
      <c r="D311" s="30" t="str" cm="1">
        <f t="array" ref="D311">UPPER(_xlfn.XLOOKUP(Loockup_ObrasGerencia[[#This Row],[OBRA_PRONTO]],Tabla7[[#All],[Obra]],Tabla7[[#All],[Gerente de obra]],"Sin Obra Asignada",0))</f>
        <v>FRANCISCO DI LISIO</v>
      </c>
      <c r="E311" s="31" t="str">
        <f>Loockup_ObrasGerencia[[#This Row],[OBRA_PRONTO]]&amp;Loockup_ObrasGerencia[[#This Row],[GERENCIA]]</f>
        <v>00000311FRANCISCO DI LISIO</v>
      </c>
      <c r="H311" t="s">
        <v>678</v>
      </c>
      <c r="I311" t="s">
        <v>679</v>
      </c>
      <c r="J311" t="s">
        <v>397</v>
      </c>
      <c r="K311" t="str">
        <f>Tabla7[[#This Row],[Obra]]&amp;Tabla7[[#This Row],[Gerente de obra]]</f>
        <v>00000316Gonzalo Silva</v>
      </c>
      <c r="L311">
        <f>MATCH(Tabla7[[#This Row],[AUX]],Loockup_ObrasGerencia[[#All],[aux]],0)</f>
        <v>316</v>
      </c>
      <c r="O311" t="str">
        <f>UPPER(GERENCIAS[[#This Row],[Gerente de obra]])</f>
        <v>FRANCISCO DI LISIO</v>
      </c>
      <c r="R311" t="s">
        <v>710</v>
      </c>
      <c r="S311" t="s">
        <v>711</v>
      </c>
      <c r="T311" t="s">
        <v>78</v>
      </c>
      <c r="W311" s="8" t="s">
        <v>669</v>
      </c>
      <c r="X311" s="8" t="s">
        <v>668</v>
      </c>
      <c r="Y311" s="8" t="s">
        <v>270</v>
      </c>
      <c r="Z311" t="str">
        <f t="shared" si="4"/>
        <v>00000311ACTIVOS</v>
      </c>
      <c r="AA311" s="11" t="e">
        <f>MATCH(Tabla9[[#This Row],[AUX]],Loockup_ObrasGerencia[[#All],[aux]],0)</f>
        <v>#N/A</v>
      </c>
    </row>
    <row r="312" spans="1:27" x14ac:dyDescent="0.25">
      <c r="A312" s="30" t="s">
        <v>671</v>
      </c>
      <c r="B312" s="30" t="s">
        <v>670</v>
      </c>
      <c r="C312" s="30" t="s">
        <v>17</v>
      </c>
      <c r="D312" s="30" t="str" cm="1">
        <f t="array" ref="D312">UPPER(_xlfn.XLOOKUP(Loockup_ObrasGerencia[[#This Row],[OBRA_PRONTO]],Tabla7[[#All],[Obra]],Tabla7[[#All],[Gerente de obra]],"Sin Obra Asignada",0))</f>
        <v>SANCHEZ OSCAR</v>
      </c>
      <c r="E312" s="31" t="str">
        <f>Loockup_ObrasGerencia[[#This Row],[OBRA_PRONTO]]&amp;Loockup_ObrasGerencia[[#This Row],[GERENCIA]]</f>
        <v>00000312SANCHEZ OSCAR</v>
      </c>
      <c r="H312" t="s">
        <v>680</v>
      </c>
      <c r="I312" t="s">
        <v>681</v>
      </c>
      <c r="J312" t="s">
        <v>79</v>
      </c>
      <c r="K312" t="str">
        <f>Tabla7[[#This Row],[Obra]]&amp;Tabla7[[#This Row],[Gerente de obra]]</f>
        <v>00000317Francisco Di Lisio</v>
      </c>
      <c r="L312">
        <f>MATCH(Tabla7[[#This Row],[AUX]],Loockup_ObrasGerencia[[#All],[aux]],0)</f>
        <v>317</v>
      </c>
      <c r="O312" t="str">
        <f>UPPER(GERENCIAS[[#This Row],[Gerente de obra]])</f>
        <v>FRANCISCO DI LISIO</v>
      </c>
      <c r="R312" t="s">
        <v>712</v>
      </c>
      <c r="S312" t="s">
        <v>713</v>
      </c>
      <c r="T312" t="s">
        <v>78</v>
      </c>
      <c r="W312" s="8" t="s">
        <v>671</v>
      </c>
      <c r="X312" s="8" t="s">
        <v>670</v>
      </c>
      <c r="Y312" s="8" t="s">
        <v>17</v>
      </c>
      <c r="Z312" t="str">
        <f t="shared" si="4"/>
        <v>00000312SI</v>
      </c>
      <c r="AA312" s="11" t="e">
        <f>MATCH(Tabla9[[#This Row],[AUX]],Loockup_ObrasGerencia[[#All],[aux]],0)</f>
        <v>#N/A</v>
      </c>
    </row>
    <row r="313" spans="1:27" x14ac:dyDescent="0.25">
      <c r="A313" s="30" t="s">
        <v>673</v>
      </c>
      <c r="B313" s="30" t="s">
        <v>672</v>
      </c>
      <c r="C313" s="30" t="s">
        <v>17</v>
      </c>
      <c r="D313" s="30" t="str" cm="1">
        <f t="array" ref="D313">UPPER(_xlfn.XLOOKUP(Loockup_ObrasGerencia[[#This Row],[OBRA_PRONTO]],Tabla7[[#All],[Obra]],Tabla7[[#All],[Gerente de obra]],"Sin Obra Asignada",0))</f>
        <v>SANCHEZ OSCAR</v>
      </c>
      <c r="E313" s="31" t="str">
        <f>Loockup_ObrasGerencia[[#This Row],[OBRA_PRONTO]]&amp;Loockup_ObrasGerencia[[#This Row],[GERENCIA]]</f>
        <v>00000313SANCHEZ OSCAR</v>
      </c>
      <c r="H313" t="s">
        <v>684</v>
      </c>
      <c r="I313" t="s">
        <v>685</v>
      </c>
      <c r="J313" t="s">
        <v>18</v>
      </c>
      <c r="K313" t="str">
        <f>Tabla7[[#This Row],[Obra]]&amp;Tabla7[[#This Row],[Gerente de obra]]</f>
        <v>00000318Ortiz Juan Manuel</v>
      </c>
      <c r="L313">
        <f>MATCH(Tabla7[[#This Row],[AUX]],Loockup_ObrasGerencia[[#All],[aux]],0)</f>
        <v>318</v>
      </c>
      <c r="O313" t="str">
        <f>UPPER(GERENCIAS[[#This Row],[Gerente de obra]])</f>
        <v>ORTIZ JUAN MANUEL</v>
      </c>
      <c r="R313" t="s">
        <v>714</v>
      </c>
      <c r="S313" t="s">
        <v>715</v>
      </c>
      <c r="T313" t="s">
        <v>19</v>
      </c>
      <c r="W313" s="8" t="s">
        <v>673</v>
      </c>
      <c r="X313" s="8" t="s">
        <v>672</v>
      </c>
      <c r="Y313" s="8" t="s">
        <v>17</v>
      </c>
      <c r="Z313" t="str">
        <f t="shared" si="4"/>
        <v>00000313SI</v>
      </c>
      <c r="AA313" s="11" t="e">
        <f>MATCH(Tabla9[[#This Row],[AUX]],Loockup_ObrasGerencia[[#All],[aux]],0)</f>
        <v>#N/A</v>
      </c>
    </row>
    <row r="314" spans="1:27" x14ac:dyDescent="0.25">
      <c r="A314" s="30" t="s">
        <v>675</v>
      </c>
      <c r="B314" s="30" t="s">
        <v>674</v>
      </c>
      <c r="C314" s="30" t="s">
        <v>17</v>
      </c>
      <c r="D314" s="30" t="str" cm="1">
        <f t="array" ref="D314">UPPER(_xlfn.XLOOKUP(Loockup_ObrasGerencia[[#This Row],[OBRA_PRONTO]],Tabla7[[#All],[Obra]],Tabla7[[#All],[Gerente de obra]],"Sin Obra Asignada",0))</f>
        <v>SANCHEZ OSCAR</v>
      </c>
      <c r="E314" s="31" t="str">
        <f>Loockup_ObrasGerencia[[#This Row],[OBRA_PRONTO]]&amp;Loockup_ObrasGerencia[[#This Row],[GERENCIA]]</f>
        <v>00000314SANCHEZ OSCAR</v>
      </c>
      <c r="H314" t="s">
        <v>686</v>
      </c>
      <c r="I314" t="s">
        <v>687</v>
      </c>
      <c r="J314" t="s">
        <v>79</v>
      </c>
      <c r="K314" t="str">
        <f>Tabla7[[#This Row],[Obra]]&amp;Tabla7[[#This Row],[Gerente de obra]]</f>
        <v>00000319Francisco Di Lisio</v>
      </c>
      <c r="L314">
        <f>MATCH(Tabla7[[#This Row],[AUX]],Loockup_ObrasGerencia[[#All],[aux]],0)</f>
        <v>319</v>
      </c>
      <c r="O314" t="str">
        <f>UPPER(GERENCIAS[[#This Row],[Gerente de obra]])</f>
        <v>FRANCISCO DI LISIO</v>
      </c>
      <c r="R314" t="s">
        <v>716</v>
      </c>
      <c r="S314" t="s">
        <v>717</v>
      </c>
      <c r="T314" t="s">
        <v>78</v>
      </c>
      <c r="W314" s="8" t="s">
        <v>675</v>
      </c>
      <c r="X314" s="8" t="s">
        <v>674</v>
      </c>
      <c r="Y314" s="8" t="s">
        <v>17</v>
      </c>
      <c r="Z314" t="str">
        <f t="shared" si="4"/>
        <v>00000314SI</v>
      </c>
      <c r="AA314" s="11" t="e">
        <f>MATCH(Tabla9[[#This Row],[AUX]],Loockup_ObrasGerencia[[#All],[aux]],0)</f>
        <v>#N/A</v>
      </c>
    </row>
    <row r="315" spans="1:27" x14ac:dyDescent="0.25">
      <c r="A315" s="30" t="s">
        <v>677</v>
      </c>
      <c r="B315" s="30" t="s">
        <v>676</v>
      </c>
      <c r="C315" s="30" t="s">
        <v>17</v>
      </c>
      <c r="D315" s="30" t="str" cm="1">
        <f t="array" ref="D315">UPPER(_xlfn.XLOOKUP(Loockup_ObrasGerencia[[#This Row],[OBRA_PRONTO]],Tabla7[[#All],[Obra]],Tabla7[[#All],[Gerente de obra]],"Sin Obra Asignada",0))</f>
        <v>FRANCISCO DI LISIO</v>
      </c>
      <c r="E315" s="31" t="str">
        <f>Loockup_ObrasGerencia[[#This Row],[OBRA_PRONTO]]&amp;Loockup_ObrasGerencia[[#This Row],[GERENCIA]]</f>
        <v>00000315FRANCISCO DI LISIO</v>
      </c>
      <c r="H315" t="s">
        <v>688</v>
      </c>
      <c r="I315" t="s">
        <v>689</v>
      </c>
      <c r="J315" t="s">
        <v>79</v>
      </c>
      <c r="K315" t="str">
        <f>Tabla7[[#This Row],[Obra]]&amp;Tabla7[[#This Row],[Gerente de obra]]</f>
        <v>00000320Francisco Di Lisio</v>
      </c>
      <c r="L315">
        <f>MATCH(Tabla7[[#This Row],[AUX]],Loockup_ObrasGerencia[[#All],[aux]],0)</f>
        <v>320</v>
      </c>
      <c r="O315" t="str">
        <f>UPPER(GERENCIAS[[#This Row],[Gerente de obra]])</f>
        <v>ORTIZ JUAN MANUEL</v>
      </c>
      <c r="R315" t="s">
        <v>718</v>
      </c>
      <c r="S315" t="s">
        <v>719</v>
      </c>
      <c r="T315" t="s">
        <v>19</v>
      </c>
      <c r="W315" s="8" t="s">
        <v>677</v>
      </c>
      <c r="X315" s="8" t="s">
        <v>676</v>
      </c>
      <c r="Y315" s="8" t="s">
        <v>17</v>
      </c>
      <c r="Z315" t="str">
        <f t="shared" si="4"/>
        <v>00000315SI</v>
      </c>
      <c r="AA315" s="11" t="e">
        <f>MATCH(Tabla9[[#This Row],[AUX]],Loockup_ObrasGerencia[[#All],[aux]],0)</f>
        <v>#N/A</v>
      </c>
    </row>
    <row r="316" spans="1:27" x14ac:dyDescent="0.25">
      <c r="A316" s="30" t="s">
        <v>679</v>
      </c>
      <c r="B316" s="30" t="s">
        <v>678</v>
      </c>
      <c r="C316" s="30" t="s">
        <v>17</v>
      </c>
      <c r="D316" s="30" t="str" cm="1">
        <f t="array" ref="D316">UPPER(_xlfn.XLOOKUP(Loockup_ObrasGerencia[[#This Row],[OBRA_PRONTO]],Tabla7[[#All],[Obra]],Tabla7[[#All],[Gerente de obra]],"Sin Obra Asignada",0))</f>
        <v>GONZALO SILVA</v>
      </c>
      <c r="E316" s="31" t="str">
        <f>Loockup_ObrasGerencia[[#This Row],[OBRA_PRONTO]]&amp;Loockup_ObrasGerencia[[#This Row],[GERENCIA]]</f>
        <v>00000316GONZALO SILVA</v>
      </c>
      <c r="H316" t="s">
        <v>690</v>
      </c>
      <c r="I316" t="s">
        <v>691</v>
      </c>
      <c r="J316" t="s">
        <v>24</v>
      </c>
      <c r="K316" t="str">
        <f>Tabla7[[#This Row],[Obra]]&amp;Tabla7[[#This Row],[Gerente de obra]]</f>
        <v>00000321Trujillo</v>
      </c>
      <c r="L316">
        <f>MATCH(Tabla7[[#This Row],[AUX]],Loockup_ObrasGerencia[[#All],[aux]],0)</f>
        <v>321</v>
      </c>
      <c r="O316" t="str">
        <f>UPPER(GERENCIAS[[#This Row],[Gerente de obra]])</f>
        <v>BARONE ALBERTO</v>
      </c>
      <c r="R316" t="s">
        <v>720</v>
      </c>
      <c r="S316" t="s">
        <v>721</v>
      </c>
      <c r="T316" t="s">
        <v>132</v>
      </c>
      <c r="W316" s="8" t="s">
        <v>679</v>
      </c>
      <c r="X316" s="8" t="s">
        <v>678</v>
      </c>
      <c r="Y316" s="8" t="s">
        <v>17</v>
      </c>
      <c r="Z316" t="str">
        <f t="shared" si="4"/>
        <v>00000316SI</v>
      </c>
      <c r="AA316" s="11" t="e">
        <f>MATCH(Tabla9[[#This Row],[AUX]],Loockup_ObrasGerencia[[#All],[aux]],0)</f>
        <v>#N/A</v>
      </c>
    </row>
    <row r="317" spans="1:27" x14ac:dyDescent="0.25">
      <c r="A317" s="30" t="s">
        <v>681</v>
      </c>
      <c r="B317" s="30" t="s">
        <v>680</v>
      </c>
      <c r="C317" s="30" t="s">
        <v>17</v>
      </c>
      <c r="D317" s="30" t="str" cm="1">
        <f t="array" ref="D317">UPPER(_xlfn.XLOOKUP(Loockup_ObrasGerencia[[#This Row],[OBRA_PRONTO]],Tabla7[[#All],[Obra]],Tabla7[[#All],[Gerente de obra]],"Sin Obra Asignada",0))</f>
        <v>FRANCISCO DI LISIO</v>
      </c>
      <c r="E317" s="31" t="str">
        <f>Loockup_ObrasGerencia[[#This Row],[OBRA_PRONTO]]&amp;Loockup_ObrasGerencia[[#This Row],[GERENCIA]]</f>
        <v>00000317FRANCISCO DI LISIO</v>
      </c>
      <c r="H317" t="s">
        <v>692</v>
      </c>
      <c r="I317" t="s">
        <v>693</v>
      </c>
      <c r="J317" t="s">
        <v>24</v>
      </c>
      <c r="K317" t="str">
        <f>Tabla7[[#This Row],[Obra]]&amp;Tabla7[[#This Row],[Gerente de obra]]</f>
        <v>00000322Trujillo</v>
      </c>
      <c r="L317">
        <f>MATCH(Tabla7[[#This Row],[AUX]],Loockup_ObrasGerencia[[#All],[aux]],0)</f>
        <v>322</v>
      </c>
      <c r="O317" t="str">
        <f>UPPER(GERENCIAS[[#This Row],[Gerente de obra]])</f>
        <v>ORTIZ JUAN MANUEL</v>
      </c>
      <c r="R317" t="s">
        <v>722</v>
      </c>
      <c r="S317" t="s">
        <v>723</v>
      </c>
      <c r="T317" t="s">
        <v>19</v>
      </c>
      <c r="W317" s="8" t="s">
        <v>681</v>
      </c>
      <c r="X317" s="8" t="s">
        <v>680</v>
      </c>
      <c r="Y317" s="8" t="s">
        <v>17</v>
      </c>
      <c r="Z317" t="str">
        <f t="shared" si="4"/>
        <v>00000317SI</v>
      </c>
      <c r="AA317" s="11" t="e">
        <f>MATCH(Tabla9[[#This Row],[AUX]],Loockup_ObrasGerencia[[#All],[aux]],0)</f>
        <v>#N/A</v>
      </c>
    </row>
    <row r="318" spans="1:27" x14ac:dyDescent="0.25">
      <c r="A318" s="30" t="s">
        <v>685</v>
      </c>
      <c r="B318" s="30" t="s">
        <v>684</v>
      </c>
      <c r="C318" s="30" t="s">
        <v>17</v>
      </c>
      <c r="D318" s="30" t="str" cm="1">
        <f t="array" ref="D318">UPPER(_xlfn.XLOOKUP(Loockup_ObrasGerencia[[#This Row],[OBRA_PRONTO]],Tabla7[[#All],[Obra]],Tabla7[[#All],[Gerente de obra]],"Sin Obra Asignada",0))</f>
        <v>ORTIZ JUAN MANUEL</v>
      </c>
      <c r="E318" s="31" t="str">
        <f>Loockup_ObrasGerencia[[#This Row],[OBRA_PRONTO]]&amp;Loockup_ObrasGerencia[[#This Row],[GERENCIA]]</f>
        <v>00000318ORTIZ JUAN MANUEL</v>
      </c>
      <c r="H318" t="s">
        <v>694</v>
      </c>
      <c r="I318" t="s">
        <v>695</v>
      </c>
      <c r="J318" t="s">
        <v>24</v>
      </c>
      <c r="K318" t="str">
        <f>Tabla7[[#This Row],[Obra]]&amp;Tabla7[[#This Row],[Gerente de obra]]</f>
        <v>00000323Trujillo</v>
      </c>
      <c r="L318">
        <f>MATCH(Tabla7[[#This Row],[AUX]],Loockup_ObrasGerencia[[#All],[aux]],0)</f>
        <v>323</v>
      </c>
      <c r="O318" t="str">
        <f>UPPER(GERENCIAS[[#This Row],[Gerente de obra]])</f>
        <v>ORTIZ JUAN MANUEL</v>
      </c>
      <c r="R318" t="s">
        <v>724</v>
      </c>
      <c r="S318" t="s">
        <v>725</v>
      </c>
      <c r="T318" t="s">
        <v>19</v>
      </c>
      <c r="W318" s="8" t="s">
        <v>685</v>
      </c>
      <c r="X318" s="8" t="s">
        <v>684</v>
      </c>
      <c r="Y318" s="8" t="s">
        <v>17</v>
      </c>
      <c r="Z318" t="str">
        <f t="shared" si="4"/>
        <v>00000318SI</v>
      </c>
      <c r="AA318" s="11" t="e">
        <f>MATCH(Tabla9[[#This Row],[AUX]],Loockup_ObrasGerencia[[#All],[aux]],0)</f>
        <v>#N/A</v>
      </c>
    </row>
    <row r="319" spans="1:27" x14ac:dyDescent="0.25">
      <c r="A319" s="30" t="s">
        <v>687</v>
      </c>
      <c r="B319" s="30" t="s">
        <v>686</v>
      </c>
      <c r="C319" s="30" t="s">
        <v>17</v>
      </c>
      <c r="D319" s="30" t="str" cm="1">
        <f t="array" ref="D319">UPPER(_xlfn.XLOOKUP(Loockup_ObrasGerencia[[#This Row],[OBRA_PRONTO]],Tabla7[[#All],[Obra]],Tabla7[[#All],[Gerente de obra]],"Sin Obra Asignada",0))</f>
        <v>FRANCISCO DI LISIO</v>
      </c>
      <c r="E319" s="31" t="str">
        <f>Loockup_ObrasGerencia[[#This Row],[OBRA_PRONTO]]&amp;Loockup_ObrasGerencia[[#This Row],[GERENCIA]]</f>
        <v>00000319FRANCISCO DI LISIO</v>
      </c>
      <c r="H319" t="s">
        <v>696</v>
      </c>
      <c r="I319" t="s">
        <v>697</v>
      </c>
      <c r="J319" t="s">
        <v>24</v>
      </c>
      <c r="K319" t="str">
        <f>Tabla7[[#This Row],[Obra]]&amp;Tabla7[[#This Row],[Gerente de obra]]</f>
        <v>00000324Trujillo</v>
      </c>
      <c r="L319">
        <f>MATCH(Tabla7[[#This Row],[AUX]],Loockup_ObrasGerencia[[#All],[aux]],0)</f>
        <v>324</v>
      </c>
      <c r="O319" t="str">
        <f>UPPER(GERENCIAS[[#This Row],[Gerente de obra]])</f>
        <v>TRUJILLO</v>
      </c>
      <c r="R319" t="s">
        <v>726</v>
      </c>
      <c r="S319" t="s">
        <v>727</v>
      </c>
      <c r="T319" t="s">
        <v>25</v>
      </c>
      <c r="W319" s="8" t="s">
        <v>687</v>
      </c>
      <c r="X319" s="8" t="s">
        <v>686</v>
      </c>
      <c r="Y319" s="8" t="s">
        <v>17</v>
      </c>
      <c r="Z319" t="str">
        <f t="shared" si="4"/>
        <v>00000319SI</v>
      </c>
      <c r="AA319" s="11" t="e">
        <f>MATCH(Tabla9[[#This Row],[AUX]],Loockup_ObrasGerencia[[#All],[aux]],0)</f>
        <v>#N/A</v>
      </c>
    </row>
    <row r="320" spans="1:27" x14ac:dyDescent="0.25">
      <c r="A320" s="30" t="s">
        <v>689</v>
      </c>
      <c r="B320" s="30" t="s">
        <v>688</v>
      </c>
      <c r="C320" s="30" t="s">
        <v>17</v>
      </c>
      <c r="D320" s="30" t="str" cm="1">
        <f t="array" ref="D320">UPPER(_xlfn.XLOOKUP(Loockup_ObrasGerencia[[#This Row],[OBRA_PRONTO]],Tabla7[[#All],[Obra]],Tabla7[[#All],[Gerente de obra]],"Sin Obra Asignada",0))</f>
        <v>FRANCISCO DI LISIO</v>
      </c>
      <c r="E320" s="31" t="str">
        <f>Loockup_ObrasGerencia[[#This Row],[OBRA_PRONTO]]&amp;Loockup_ObrasGerencia[[#This Row],[GERENCIA]]</f>
        <v>00000320FRANCISCO DI LISIO</v>
      </c>
      <c r="H320" t="s">
        <v>698</v>
      </c>
      <c r="I320" t="s">
        <v>699</v>
      </c>
      <c r="J320" t="s">
        <v>271</v>
      </c>
      <c r="K320" t="str">
        <f>Tabla7[[#This Row],[Obra]]&amp;Tabla7[[#This Row],[Gerente de obra]]</f>
        <v>00000326Catriel Gisela</v>
      </c>
      <c r="L320">
        <f>MATCH(Tabla7[[#This Row],[AUX]],Loockup_ObrasGerencia[[#All],[aux]],0)</f>
        <v>326</v>
      </c>
      <c r="O320" t="str">
        <f>UPPER(GERENCIAS[[#This Row],[Gerente de obra]])</f>
        <v>TRUJILLO</v>
      </c>
      <c r="R320" t="s">
        <v>728</v>
      </c>
      <c r="S320" t="s">
        <v>729</v>
      </c>
      <c r="T320" t="s">
        <v>25</v>
      </c>
      <c r="W320" s="8" t="s">
        <v>689</v>
      </c>
      <c r="X320" s="8" t="s">
        <v>688</v>
      </c>
      <c r="Y320" s="8" t="s">
        <v>17</v>
      </c>
      <c r="Z320" t="str">
        <f t="shared" si="4"/>
        <v>00000320SI</v>
      </c>
      <c r="AA320" s="11" t="e">
        <f>MATCH(Tabla9[[#This Row],[AUX]],Loockup_ObrasGerencia[[#All],[aux]],0)</f>
        <v>#N/A</v>
      </c>
    </row>
    <row r="321" spans="1:27" x14ac:dyDescent="0.25">
      <c r="A321" s="30" t="s">
        <v>691</v>
      </c>
      <c r="B321" s="30" t="s">
        <v>690</v>
      </c>
      <c r="C321" s="30" t="s">
        <v>17</v>
      </c>
      <c r="D321" s="30" t="str" cm="1">
        <f t="array" ref="D321">UPPER(_xlfn.XLOOKUP(Loockup_ObrasGerencia[[#This Row],[OBRA_PRONTO]],Tabla7[[#All],[Obra]],Tabla7[[#All],[Gerente de obra]],"Sin Obra Asignada",0))</f>
        <v>TRUJILLO</v>
      </c>
      <c r="E321" s="31" t="str">
        <f>Loockup_ObrasGerencia[[#This Row],[OBRA_PRONTO]]&amp;Loockup_ObrasGerencia[[#This Row],[GERENCIA]]</f>
        <v>00000321TRUJILLO</v>
      </c>
      <c r="H321" t="s">
        <v>700</v>
      </c>
      <c r="I321" t="s">
        <v>701</v>
      </c>
      <c r="J321" t="s">
        <v>79</v>
      </c>
      <c r="K321" t="str">
        <f>Tabla7[[#This Row],[Obra]]&amp;Tabla7[[#This Row],[Gerente de obra]]</f>
        <v>00000328Francisco Di Lisio</v>
      </c>
      <c r="L321">
        <f>MATCH(Tabla7[[#This Row],[AUX]],Loockup_ObrasGerencia[[#All],[aux]],0)</f>
        <v>328</v>
      </c>
      <c r="O321" t="str">
        <f>UPPER(GERENCIAS[[#This Row],[Gerente de obra]])</f>
        <v>TRUJILLO</v>
      </c>
      <c r="R321" t="s">
        <v>730</v>
      </c>
      <c r="S321" t="s">
        <v>731</v>
      </c>
      <c r="T321" t="s">
        <v>25</v>
      </c>
      <c r="W321" s="8" t="s">
        <v>691</v>
      </c>
      <c r="X321" s="8" t="s">
        <v>690</v>
      </c>
      <c r="Y321" s="8" t="s">
        <v>17</v>
      </c>
      <c r="Z321" t="str">
        <f t="shared" si="4"/>
        <v>00000321SI</v>
      </c>
      <c r="AA321" s="11" t="e">
        <f>MATCH(Tabla9[[#This Row],[AUX]],Loockup_ObrasGerencia[[#All],[aux]],0)</f>
        <v>#N/A</v>
      </c>
    </row>
    <row r="322" spans="1:27" x14ac:dyDescent="0.25">
      <c r="A322" s="30" t="s">
        <v>693</v>
      </c>
      <c r="B322" s="30" t="s">
        <v>692</v>
      </c>
      <c r="C322" s="30" t="s">
        <v>17</v>
      </c>
      <c r="D322" s="30" t="str" cm="1">
        <f t="array" ref="D322">UPPER(_xlfn.XLOOKUP(Loockup_ObrasGerencia[[#This Row],[OBRA_PRONTO]],Tabla7[[#All],[Obra]],Tabla7[[#All],[Gerente de obra]],"Sin Obra Asignada",0))</f>
        <v>TRUJILLO</v>
      </c>
      <c r="E322" s="31" t="str">
        <f>Loockup_ObrasGerencia[[#This Row],[OBRA_PRONTO]]&amp;Loockup_ObrasGerencia[[#This Row],[GERENCIA]]</f>
        <v>00000322TRUJILLO</v>
      </c>
      <c r="H322" t="s">
        <v>702</v>
      </c>
      <c r="I322" t="s">
        <v>703</v>
      </c>
      <c r="J322" t="s">
        <v>79</v>
      </c>
      <c r="K322" t="str">
        <f>Tabla7[[#This Row],[Obra]]&amp;Tabla7[[#This Row],[Gerente de obra]]</f>
        <v>00000329Francisco Di Lisio</v>
      </c>
      <c r="L322">
        <f>MATCH(Tabla7[[#This Row],[AUX]],Loockup_ObrasGerencia[[#All],[aux]],0)</f>
        <v>329</v>
      </c>
      <c r="O322" t="str">
        <f>UPPER(GERENCIAS[[#This Row],[Gerente de obra]])</f>
        <v>FRANCISCO DI LISIO</v>
      </c>
      <c r="R322" t="s">
        <v>732</v>
      </c>
      <c r="S322" t="s">
        <v>733</v>
      </c>
      <c r="T322" t="s">
        <v>78</v>
      </c>
      <c r="W322" s="8" t="s">
        <v>693</v>
      </c>
      <c r="X322" s="8" t="s">
        <v>692</v>
      </c>
      <c r="Y322" s="8" t="s">
        <v>17</v>
      </c>
      <c r="Z322" t="str">
        <f t="shared" ref="Z322:Z385" si="5">X322&amp;Y322</f>
        <v>00000322SI</v>
      </c>
      <c r="AA322" s="11" t="e">
        <f>MATCH(Tabla9[[#This Row],[AUX]],Loockup_ObrasGerencia[[#All],[aux]],0)</f>
        <v>#N/A</v>
      </c>
    </row>
    <row r="323" spans="1:27" x14ac:dyDescent="0.25">
      <c r="A323" s="30" t="s">
        <v>695</v>
      </c>
      <c r="B323" s="30" t="s">
        <v>694</v>
      </c>
      <c r="C323" s="30" t="s">
        <v>17</v>
      </c>
      <c r="D323" s="30" t="str" cm="1">
        <f t="array" ref="D323">UPPER(_xlfn.XLOOKUP(Loockup_ObrasGerencia[[#This Row],[OBRA_PRONTO]],Tabla7[[#All],[Obra]],Tabla7[[#All],[Gerente de obra]],"Sin Obra Asignada",0))</f>
        <v>TRUJILLO</v>
      </c>
      <c r="E323" s="31" t="str">
        <f>Loockup_ObrasGerencia[[#This Row],[OBRA_PRONTO]]&amp;Loockup_ObrasGerencia[[#This Row],[GERENCIA]]</f>
        <v>00000323TRUJILLO</v>
      </c>
      <c r="H323" t="s">
        <v>704</v>
      </c>
      <c r="I323" t="s">
        <v>705</v>
      </c>
      <c r="J323" t="s">
        <v>79</v>
      </c>
      <c r="K323" t="str">
        <f>Tabla7[[#This Row],[Obra]]&amp;Tabla7[[#This Row],[Gerente de obra]]</f>
        <v>00000330Francisco Di Lisio</v>
      </c>
      <c r="L323">
        <f>MATCH(Tabla7[[#This Row],[AUX]],Loockup_ObrasGerencia[[#All],[aux]],0)</f>
        <v>330</v>
      </c>
      <c r="O323" t="str">
        <f>UPPER(GERENCIAS[[#This Row],[Gerente de obra]])</f>
        <v>FRANCISCO DI LISIO</v>
      </c>
      <c r="R323" t="s">
        <v>734</v>
      </c>
      <c r="S323" t="s">
        <v>735</v>
      </c>
      <c r="T323" t="s">
        <v>78</v>
      </c>
      <c r="W323" s="8" t="s">
        <v>695</v>
      </c>
      <c r="X323" s="8" t="s">
        <v>694</v>
      </c>
      <c r="Y323" s="8" t="s">
        <v>17</v>
      </c>
      <c r="Z323" t="str">
        <f t="shared" si="5"/>
        <v>00000323SI</v>
      </c>
      <c r="AA323" s="11" t="e">
        <f>MATCH(Tabla9[[#This Row],[AUX]],Loockup_ObrasGerencia[[#All],[aux]],0)</f>
        <v>#N/A</v>
      </c>
    </row>
    <row r="324" spans="1:27" x14ac:dyDescent="0.25">
      <c r="A324" s="30" t="s">
        <v>697</v>
      </c>
      <c r="B324" s="30" t="s">
        <v>696</v>
      </c>
      <c r="C324" s="30" t="s">
        <v>17</v>
      </c>
      <c r="D324" s="30" t="str" cm="1">
        <f t="array" ref="D324">UPPER(_xlfn.XLOOKUP(Loockup_ObrasGerencia[[#This Row],[OBRA_PRONTO]],Tabla7[[#All],[Obra]],Tabla7[[#All],[Gerente de obra]],"Sin Obra Asignada",0))</f>
        <v>TRUJILLO</v>
      </c>
      <c r="E324" s="31" t="str">
        <f>Loockup_ObrasGerencia[[#This Row],[OBRA_PRONTO]]&amp;Loockup_ObrasGerencia[[#This Row],[GERENCIA]]</f>
        <v>00000324TRUJILLO</v>
      </c>
      <c r="H324" t="s">
        <v>706</v>
      </c>
      <c r="I324" t="s">
        <v>707</v>
      </c>
      <c r="J324" t="s">
        <v>79</v>
      </c>
      <c r="K324" t="str">
        <f>Tabla7[[#This Row],[Obra]]&amp;Tabla7[[#This Row],[Gerente de obra]]</f>
        <v>00000331Francisco Di Lisio</v>
      </c>
      <c r="L324">
        <f>MATCH(Tabla7[[#This Row],[AUX]],Loockup_ObrasGerencia[[#All],[aux]],0)</f>
        <v>331</v>
      </c>
      <c r="O324" t="str">
        <f>UPPER(GERENCIAS[[#This Row],[Gerente de obra]])</f>
        <v>FRANCISCO DI LISIO</v>
      </c>
      <c r="R324" t="s">
        <v>736</v>
      </c>
      <c r="S324" t="s">
        <v>737</v>
      </c>
      <c r="T324" t="s">
        <v>78</v>
      </c>
      <c r="W324" s="8" t="s">
        <v>697</v>
      </c>
      <c r="X324" s="8" t="s">
        <v>696</v>
      </c>
      <c r="Y324" s="8" t="s">
        <v>17</v>
      </c>
      <c r="Z324" t="str">
        <f t="shared" si="5"/>
        <v>00000324SI</v>
      </c>
      <c r="AA324" s="11" t="e">
        <f>MATCH(Tabla9[[#This Row],[AUX]],Loockup_ObrasGerencia[[#All],[aux]],0)</f>
        <v>#N/A</v>
      </c>
    </row>
    <row r="325" spans="1:27" x14ac:dyDescent="0.25">
      <c r="A325" s="30" t="s">
        <v>738</v>
      </c>
      <c r="B325" s="30" t="s">
        <v>739</v>
      </c>
      <c r="C325" s="30" t="s">
        <v>17</v>
      </c>
      <c r="D325" s="30" t="str" cm="1">
        <f t="array" ref="D325">UPPER(_xlfn.XLOOKUP(Loockup_ObrasGerencia[[#This Row],[OBRA_PRONTO]],Tabla7[[#All],[Obra]],Tabla7[[#All],[Gerente de obra]],"Sin Obra Asignada",0))</f>
        <v>SIN OBRA ASIGNADA</v>
      </c>
      <c r="E325" s="31" t="str">
        <f>Loockup_ObrasGerencia[[#This Row],[OBRA_PRONTO]]&amp;Loockup_ObrasGerencia[[#This Row],[GERENCIA]]</f>
        <v>00000325SIN OBRA ASIGNADA</v>
      </c>
      <c r="H325" t="s">
        <v>708</v>
      </c>
      <c r="I325" t="s">
        <v>709</v>
      </c>
      <c r="J325" t="s">
        <v>79</v>
      </c>
      <c r="K325" t="str">
        <f>Tabla7[[#This Row],[Obra]]&amp;Tabla7[[#This Row],[Gerente de obra]]</f>
        <v>00000332Francisco Di Lisio</v>
      </c>
      <c r="L325">
        <f>MATCH(Tabla7[[#This Row],[AUX]],Loockup_ObrasGerencia[[#All],[aux]],0)</f>
        <v>332</v>
      </c>
      <c r="O325" t="str">
        <f>UPPER(GERENCIAS[[#This Row],[Gerente de obra]])</f>
        <v>FRANCISCO DI LISIO</v>
      </c>
      <c r="R325" t="s">
        <v>740</v>
      </c>
      <c r="S325" t="s">
        <v>741</v>
      </c>
      <c r="T325" t="s">
        <v>78</v>
      </c>
      <c r="W325" s="8" t="s">
        <v>738</v>
      </c>
      <c r="X325" s="8" t="s">
        <v>739</v>
      </c>
      <c r="Y325" s="8" t="s">
        <v>17</v>
      </c>
      <c r="Z325" t="str">
        <f t="shared" si="5"/>
        <v>00000325SI</v>
      </c>
      <c r="AA325" s="11" t="e">
        <f>MATCH(Tabla9[[#This Row],[AUX]],Loockup_ObrasGerencia[[#All],[aux]],0)</f>
        <v>#N/A</v>
      </c>
    </row>
    <row r="326" spans="1:27" x14ac:dyDescent="0.25">
      <c r="A326" s="30" t="s">
        <v>699</v>
      </c>
      <c r="B326" s="30" t="s">
        <v>698</v>
      </c>
      <c r="C326" s="30" t="s">
        <v>17</v>
      </c>
      <c r="D326" s="30" t="str" cm="1">
        <f t="array" ref="D326">UPPER(_xlfn.XLOOKUP(Loockup_ObrasGerencia[[#This Row],[OBRA_PRONTO]],Tabla7[[#All],[Obra]],Tabla7[[#All],[Gerente de obra]],"Sin Obra Asignada",0))</f>
        <v>CATRIEL GISELA</v>
      </c>
      <c r="E326" s="31" t="str">
        <f>Loockup_ObrasGerencia[[#This Row],[OBRA_PRONTO]]&amp;Loockup_ObrasGerencia[[#This Row],[GERENCIA]]</f>
        <v>00000326CATRIEL GISELA</v>
      </c>
      <c r="H326" t="s">
        <v>710</v>
      </c>
      <c r="I326" t="s">
        <v>711</v>
      </c>
      <c r="J326" t="s">
        <v>79</v>
      </c>
      <c r="K326" t="str">
        <f>Tabla7[[#This Row],[Obra]]&amp;Tabla7[[#This Row],[Gerente de obra]]</f>
        <v>00000333Francisco Di Lisio</v>
      </c>
      <c r="L326">
        <f>MATCH(Tabla7[[#This Row],[AUX]],Loockup_ObrasGerencia[[#All],[aux]],0)</f>
        <v>333</v>
      </c>
      <c r="O326" t="str">
        <f>UPPER(GERENCIAS[[#This Row],[Gerente de obra]])</f>
        <v>TRUJILLO</v>
      </c>
      <c r="R326" t="s">
        <v>742</v>
      </c>
      <c r="S326" t="s">
        <v>743</v>
      </c>
      <c r="T326" t="s">
        <v>25</v>
      </c>
      <c r="W326" s="8" t="s">
        <v>699</v>
      </c>
      <c r="X326" s="8" t="s">
        <v>698</v>
      </c>
      <c r="Y326" s="8" t="s">
        <v>17</v>
      </c>
      <c r="Z326" t="str">
        <f t="shared" si="5"/>
        <v>00000326SI</v>
      </c>
      <c r="AA326" s="11" t="e">
        <f>MATCH(Tabla9[[#This Row],[AUX]],Loockup_ObrasGerencia[[#All],[aux]],0)</f>
        <v>#N/A</v>
      </c>
    </row>
    <row r="327" spans="1:27" x14ac:dyDescent="0.25">
      <c r="A327" s="30" t="s">
        <v>744</v>
      </c>
      <c r="B327" s="30" t="s">
        <v>745</v>
      </c>
      <c r="C327" s="30" t="s">
        <v>17</v>
      </c>
      <c r="D327" s="30" t="str" cm="1">
        <f t="array" ref="D327">UPPER(_xlfn.XLOOKUP(Loockup_ObrasGerencia[[#This Row],[OBRA_PRONTO]],Tabla7[[#All],[Obra]],Tabla7[[#All],[Gerente de obra]],"Sin Obra Asignada",0))</f>
        <v>SIN OBRA ASIGNADA</v>
      </c>
      <c r="E327" s="31" t="str">
        <f>Loockup_ObrasGerencia[[#This Row],[OBRA_PRONTO]]&amp;Loockup_ObrasGerencia[[#This Row],[GERENCIA]]</f>
        <v>00000327SIN OBRA ASIGNADA</v>
      </c>
      <c r="H327" t="s">
        <v>712</v>
      </c>
      <c r="I327" t="s">
        <v>713</v>
      </c>
      <c r="J327" t="s">
        <v>79</v>
      </c>
      <c r="K327" t="str">
        <f>Tabla7[[#This Row],[Obra]]&amp;Tabla7[[#This Row],[Gerente de obra]]</f>
        <v>00000334Francisco Di Lisio</v>
      </c>
      <c r="L327">
        <f>MATCH(Tabla7[[#This Row],[AUX]],Loockup_ObrasGerencia[[#All],[aux]],0)</f>
        <v>334</v>
      </c>
      <c r="O327" t="str">
        <f>UPPER(GERENCIAS[[#This Row],[Gerente de obra]])</f>
        <v>FRANCISCO DI LISIO</v>
      </c>
      <c r="R327" t="s">
        <v>746</v>
      </c>
      <c r="S327" t="s">
        <v>747</v>
      </c>
      <c r="T327" t="s">
        <v>78</v>
      </c>
      <c r="W327" s="8" t="s">
        <v>744</v>
      </c>
      <c r="X327" s="8" t="s">
        <v>745</v>
      </c>
      <c r="Y327" s="8" t="s">
        <v>17</v>
      </c>
      <c r="Z327" t="str">
        <f t="shared" si="5"/>
        <v>00000327SI</v>
      </c>
      <c r="AA327" s="11" t="e">
        <f>MATCH(Tabla9[[#This Row],[AUX]],Loockup_ObrasGerencia[[#All],[aux]],0)</f>
        <v>#N/A</v>
      </c>
    </row>
    <row r="328" spans="1:27" x14ac:dyDescent="0.25">
      <c r="A328" s="30" t="s">
        <v>701</v>
      </c>
      <c r="B328" s="30" t="s">
        <v>700</v>
      </c>
      <c r="C328" s="30" t="s">
        <v>17</v>
      </c>
      <c r="D328" s="30" t="str" cm="1">
        <f t="array" ref="D328">UPPER(_xlfn.XLOOKUP(Loockup_ObrasGerencia[[#This Row],[OBRA_PRONTO]],Tabla7[[#All],[Obra]],Tabla7[[#All],[Gerente de obra]],"Sin Obra Asignada",0))</f>
        <v>FRANCISCO DI LISIO</v>
      </c>
      <c r="E328" s="31" t="str">
        <f>Loockup_ObrasGerencia[[#This Row],[OBRA_PRONTO]]&amp;Loockup_ObrasGerencia[[#This Row],[GERENCIA]]</f>
        <v>00000328FRANCISCO DI LISIO</v>
      </c>
      <c r="H328" t="s">
        <v>714</v>
      </c>
      <c r="I328" t="s">
        <v>715</v>
      </c>
      <c r="J328" t="s">
        <v>18</v>
      </c>
      <c r="K328" t="str">
        <f>Tabla7[[#This Row],[Obra]]&amp;Tabla7[[#This Row],[Gerente de obra]]</f>
        <v>00000336Ortiz Juan Manuel</v>
      </c>
      <c r="L328">
        <f>MATCH(Tabla7[[#This Row],[AUX]],Loockup_ObrasGerencia[[#All],[aux]],0)</f>
        <v>335</v>
      </c>
      <c r="O328" t="str">
        <f>UPPER(GERENCIAS[[#This Row],[Gerente de obra]])</f>
        <v>FRANCISCO DI LISIO</v>
      </c>
      <c r="R328" t="s">
        <v>748</v>
      </c>
      <c r="S328" t="s">
        <v>749</v>
      </c>
      <c r="T328" t="s">
        <v>78</v>
      </c>
      <c r="W328" s="8" t="s">
        <v>701</v>
      </c>
      <c r="X328" s="8" t="s">
        <v>700</v>
      </c>
      <c r="Y328" s="8" t="s">
        <v>17</v>
      </c>
      <c r="Z328" t="str">
        <f t="shared" si="5"/>
        <v>00000328SI</v>
      </c>
      <c r="AA328" s="11" t="e">
        <f>MATCH(Tabla9[[#This Row],[AUX]],Loockup_ObrasGerencia[[#All],[aux]],0)</f>
        <v>#N/A</v>
      </c>
    </row>
    <row r="329" spans="1:27" x14ac:dyDescent="0.25">
      <c r="A329" s="30" t="s">
        <v>703</v>
      </c>
      <c r="B329" s="30" t="s">
        <v>702</v>
      </c>
      <c r="C329" s="30" t="s">
        <v>17</v>
      </c>
      <c r="D329" s="30" t="str" cm="1">
        <f t="array" ref="D329">UPPER(_xlfn.XLOOKUP(Loockup_ObrasGerencia[[#This Row],[OBRA_PRONTO]],Tabla7[[#All],[Obra]],Tabla7[[#All],[Gerente de obra]],"Sin Obra Asignada",0))</f>
        <v>FRANCISCO DI LISIO</v>
      </c>
      <c r="E329" s="31" t="str">
        <f>Loockup_ObrasGerencia[[#This Row],[OBRA_PRONTO]]&amp;Loockup_ObrasGerencia[[#This Row],[GERENCIA]]</f>
        <v>00000329FRANCISCO DI LISIO</v>
      </c>
      <c r="H329" t="s">
        <v>716</v>
      </c>
      <c r="I329" t="s">
        <v>717</v>
      </c>
      <c r="J329" t="s">
        <v>79</v>
      </c>
      <c r="K329" t="str">
        <f>Tabla7[[#This Row],[Obra]]&amp;Tabla7[[#This Row],[Gerente de obra]]</f>
        <v>00000337Francisco Di Lisio</v>
      </c>
      <c r="L329">
        <f>MATCH(Tabla7[[#This Row],[AUX]],Loockup_ObrasGerencia[[#All],[aux]],0)</f>
        <v>336</v>
      </c>
      <c r="O329" t="str">
        <f>UPPER(GERENCIAS[[#This Row],[Gerente de obra]])</f>
        <v>TRUJILLO</v>
      </c>
      <c r="R329" t="s">
        <v>750</v>
      </c>
      <c r="S329" t="s">
        <v>751</v>
      </c>
      <c r="T329" t="s">
        <v>25</v>
      </c>
      <c r="W329" s="8" t="s">
        <v>703</v>
      </c>
      <c r="X329" s="8" t="s">
        <v>702</v>
      </c>
      <c r="Y329" s="8" t="s">
        <v>17</v>
      </c>
      <c r="Z329" t="str">
        <f t="shared" si="5"/>
        <v>00000329SI</v>
      </c>
      <c r="AA329" s="11" t="e">
        <f>MATCH(Tabla9[[#This Row],[AUX]],Loockup_ObrasGerencia[[#All],[aux]],0)</f>
        <v>#N/A</v>
      </c>
    </row>
    <row r="330" spans="1:27" x14ac:dyDescent="0.25">
      <c r="A330" s="30" t="s">
        <v>705</v>
      </c>
      <c r="B330" s="30" t="s">
        <v>704</v>
      </c>
      <c r="C330" s="30" t="s">
        <v>634</v>
      </c>
      <c r="D330" s="30" t="str" cm="1">
        <f t="array" ref="D330">UPPER(_xlfn.XLOOKUP(Loockup_ObrasGerencia[[#This Row],[OBRA_PRONTO]],Tabla7[[#All],[Obra]],Tabla7[[#All],[Gerente de obra]],"Sin Obra Asignada",0))</f>
        <v>FRANCISCO DI LISIO</v>
      </c>
      <c r="E330" s="31" t="str">
        <f>Loockup_ObrasGerencia[[#This Row],[OBRA_PRONTO]]&amp;Loockup_ObrasGerencia[[#This Row],[GERENCIA]]</f>
        <v>00000330FRANCISCO DI LISIO</v>
      </c>
      <c r="H330" t="s">
        <v>718</v>
      </c>
      <c r="I330" t="s">
        <v>719</v>
      </c>
      <c r="J330" t="s">
        <v>18</v>
      </c>
      <c r="K330" t="str">
        <f>Tabla7[[#This Row],[Obra]]&amp;Tabla7[[#This Row],[Gerente de obra]]</f>
        <v>00000338Ortiz Juan Manuel</v>
      </c>
      <c r="L330">
        <f>MATCH(Tabla7[[#This Row],[AUX]],Loockup_ObrasGerencia[[#All],[aux]],0)</f>
        <v>337</v>
      </c>
      <c r="O330" t="str">
        <f>UPPER(GERENCIAS[[#This Row],[Gerente de obra]])</f>
        <v>FRANCISCO DI LISIO</v>
      </c>
      <c r="R330" t="s">
        <v>752</v>
      </c>
      <c r="S330" t="s">
        <v>753</v>
      </c>
      <c r="T330" t="s">
        <v>78</v>
      </c>
      <c r="W330" s="8" t="s">
        <v>705</v>
      </c>
      <c r="X330" s="8" t="s">
        <v>704</v>
      </c>
      <c r="Y330" s="8" t="s">
        <v>634</v>
      </c>
      <c r="Z330" t="str">
        <f t="shared" si="5"/>
        <v>00000330COMPENSABLE GASTOS DE SEDE</v>
      </c>
      <c r="AA330" s="11" t="e">
        <f>MATCH(Tabla9[[#This Row],[AUX]],Loockup_ObrasGerencia[[#All],[aux]],0)</f>
        <v>#N/A</v>
      </c>
    </row>
    <row r="331" spans="1:27" x14ac:dyDescent="0.25">
      <c r="A331" s="30" t="s">
        <v>707</v>
      </c>
      <c r="B331" s="30" t="s">
        <v>706</v>
      </c>
      <c r="C331" s="30" t="s">
        <v>634</v>
      </c>
      <c r="D331" s="30" t="str" cm="1">
        <f t="array" ref="D331">UPPER(_xlfn.XLOOKUP(Loockup_ObrasGerencia[[#This Row],[OBRA_PRONTO]],Tabla7[[#All],[Obra]],Tabla7[[#All],[Gerente de obra]],"Sin Obra Asignada",0))</f>
        <v>FRANCISCO DI LISIO</v>
      </c>
      <c r="E331" s="31" t="str">
        <f>Loockup_ObrasGerencia[[#This Row],[OBRA_PRONTO]]&amp;Loockup_ObrasGerencia[[#This Row],[GERENCIA]]</f>
        <v>00000331FRANCISCO DI LISIO</v>
      </c>
      <c r="H331" t="s">
        <v>720</v>
      </c>
      <c r="I331" t="s">
        <v>721</v>
      </c>
      <c r="J331" t="s">
        <v>141</v>
      </c>
      <c r="K331" t="str">
        <f>Tabla7[[#This Row],[Obra]]&amp;Tabla7[[#This Row],[Gerente de obra]]</f>
        <v>00000339Barone Alberto</v>
      </c>
      <c r="L331">
        <f>MATCH(Tabla7[[#This Row],[AUX]],Loockup_ObrasGerencia[[#All],[aux]],0)</f>
        <v>338</v>
      </c>
      <c r="O331" t="str">
        <f>UPPER(GERENCIAS[[#This Row],[Gerente de obra]])</f>
        <v>ORTIZ JUAN MANUEL</v>
      </c>
      <c r="R331" t="s">
        <v>754</v>
      </c>
      <c r="S331" t="s">
        <v>755</v>
      </c>
      <c r="T331" t="s">
        <v>19</v>
      </c>
      <c r="W331" s="8" t="s">
        <v>707</v>
      </c>
      <c r="X331" s="8" t="s">
        <v>706</v>
      </c>
      <c r="Y331" s="8" t="s">
        <v>634</v>
      </c>
      <c r="Z331" t="str">
        <f t="shared" si="5"/>
        <v>00000331COMPENSABLE GASTOS DE SEDE</v>
      </c>
      <c r="AA331" s="11" t="e">
        <f>MATCH(Tabla9[[#This Row],[AUX]],Loockup_ObrasGerencia[[#All],[aux]],0)</f>
        <v>#N/A</v>
      </c>
    </row>
    <row r="332" spans="1:27" x14ac:dyDescent="0.25">
      <c r="A332" s="30" t="s">
        <v>709</v>
      </c>
      <c r="B332" s="30" t="s">
        <v>708</v>
      </c>
      <c r="C332" s="30" t="s">
        <v>634</v>
      </c>
      <c r="D332" s="30" t="str" cm="1">
        <f t="array" ref="D332">UPPER(_xlfn.XLOOKUP(Loockup_ObrasGerencia[[#This Row],[OBRA_PRONTO]],Tabla7[[#All],[Obra]],Tabla7[[#All],[Gerente de obra]],"Sin Obra Asignada",0))</f>
        <v>FRANCISCO DI LISIO</v>
      </c>
      <c r="E332" s="31" t="str">
        <f>Loockup_ObrasGerencia[[#This Row],[OBRA_PRONTO]]&amp;Loockup_ObrasGerencia[[#This Row],[GERENCIA]]</f>
        <v>00000332FRANCISCO DI LISIO</v>
      </c>
      <c r="H332" t="s">
        <v>722</v>
      </c>
      <c r="I332" t="s">
        <v>723</v>
      </c>
      <c r="J332" t="s">
        <v>18</v>
      </c>
      <c r="K332" t="str">
        <f>Tabla7[[#This Row],[Obra]]&amp;Tabla7[[#This Row],[Gerente de obra]]</f>
        <v>00000340Ortiz Juan Manuel</v>
      </c>
      <c r="L332">
        <f>MATCH(Tabla7[[#This Row],[AUX]],Loockup_ObrasGerencia[[#All],[aux]],0)</f>
        <v>339</v>
      </c>
      <c r="O332" t="str">
        <f>UPPER(GERENCIAS[[#This Row],[Gerente de obra]])</f>
        <v>ORTIZ JUAN MANUEL</v>
      </c>
      <c r="R332" t="s">
        <v>756</v>
      </c>
      <c r="S332" t="s">
        <v>757</v>
      </c>
      <c r="T332" t="s">
        <v>19</v>
      </c>
      <c r="W332" s="8" t="s">
        <v>709</v>
      </c>
      <c r="X332" s="8" t="s">
        <v>708</v>
      </c>
      <c r="Y332" s="8" t="s">
        <v>634</v>
      </c>
      <c r="Z332" t="str">
        <f t="shared" si="5"/>
        <v>00000332COMPENSABLE GASTOS DE SEDE</v>
      </c>
      <c r="AA332" s="11" t="e">
        <f>MATCH(Tabla9[[#This Row],[AUX]],Loockup_ObrasGerencia[[#All],[aux]],0)</f>
        <v>#N/A</v>
      </c>
    </row>
    <row r="333" spans="1:27" x14ac:dyDescent="0.25">
      <c r="A333" s="30" t="s">
        <v>711</v>
      </c>
      <c r="B333" s="30" t="s">
        <v>710</v>
      </c>
      <c r="C333" s="30" t="s">
        <v>634</v>
      </c>
      <c r="D333" s="30" t="str" cm="1">
        <f t="array" ref="D333">UPPER(_xlfn.XLOOKUP(Loockup_ObrasGerencia[[#This Row],[OBRA_PRONTO]],Tabla7[[#All],[Obra]],Tabla7[[#All],[Gerente de obra]],"Sin Obra Asignada",0))</f>
        <v>FRANCISCO DI LISIO</v>
      </c>
      <c r="E333" s="31" t="str">
        <f>Loockup_ObrasGerencia[[#This Row],[OBRA_PRONTO]]&amp;Loockup_ObrasGerencia[[#This Row],[GERENCIA]]</f>
        <v>00000333FRANCISCO DI LISIO</v>
      </c>
      <c r="H333" t="s">
        <v>724</v>
      </c>
      <c r="I333" t="s">
        <v>725</v>
      </c>
      <c r="J333" t="s">
        <v>18</v>
      </c>
      <c r="K333" t="str">
        <f>Tabla7[[#This Row],[Obra]]&amp;Tabla7[[#This Row],[Gerente de obra]]</f>
        <v>00000341Ortiz Juan Manuel</v>
      </c>
      <c r="L333">
        <f>MATCH(Tabla7[[#This Row],[AUX]],Loockup_ObrasGerencia[[#All],[aux]],0)</f>
        <v>340</v>
      </c>
      <c r="O333" t="str">
        <f>UPPER(GERENCIAS[[#This Row],[Gerente de obra]])</f>
        <v>ORTIZ JUAN MANUEL</v>
      </c>
      <c r="R333" t="s">
        <v>758</v>
      </c>
      <c r="S333" t="s">
        <v>759</v>
      </c>
      <c r="T333" t="s">
        <v>19</v>
      </c>
      <c r="W333" s="8" t="s">
        <v>711</v>
      </c>
      <c r="X333" s="8" t="s">
        <v>710</v>
      </c>
      <c r="Y333" s="8" t="s">
        <v>634</v>
      </c>
      <c r="Z333" t="str">
        <f t="shared" si="5"/>
        <v>00000333COMPENSABLE GASTOS DE SEDE</v>
      </c>
      <c r="AA333" s="11" t="e">
        <f>MATCH(Tabla9[[#This Row],[AUX]],Loockup_ObrasGerencia[[#All],[aux]],0)</f>
        <v>#N/A</v>
      </c>
    </row>
    <row r="334" spans="1:27" x14ac:dyDescent="0.25">
      <c r="A334" s="30" t="s">
        <v>713</v>
      </c>
      <c r="B334" s="30" t="s">
        <v>712</v>
      </c>
      <c r="C334" s="30" t="s">
        <v>760</v>
      </c>
      <c r="D334" s="30" t="str" cm="1">
        <f t="array" ref="D334">UPPER(_xlfn.XLOOKUP(Loockup_ObrasGerencia[[#This Row],[OBRA_PRONTO]],Tabla7[[#All],[Obra]],Tabla7[[#All],[Gerente de obra]],"Sin Obra Asignada",0))</f>
        <v>FRANCISCO DI LISIO</v>
      </c>
      <c r="E334" s="31" t="str">
        <f>Loockup_ObrasGerencia[[#This Row],[OBRA_PRONTO]]&amp;Loockup_ObrasGerencia[[#This Row],[GERENCIA]]</f>
        <v>00000334FRANCISCO DI LISIO</v>
      </c>
      <c r="H334" t="s">
        <v>726</v>
      </c>
      <c r="I334" t="s">
        <v>727</v>
      </c>
      <c r="J334" t="s">
        <v>24</v>
      </c>
      <c r="K334" t="str">
        <f>Tabla7[[#This Row],[Obra]]&amp;Tabla7[[#This Row],[Gerente de obra]]</f>
        <v>00000342Trujillo</v>
      </c>
      <c r="L334">
        <f>MATCH(Tabla7[[#This Row],[AUX]],Loockup_ObrasGerencia[[#All],[aux]],0)</f>
        <v>341</v>
      </c>
      <c r="O334" t="str">
        <f>UPPER(GERENCIAS[[#This Row],[Gerente de obra]])</f>
        <v>ORTIZ JUAN MANUEL</v>
      </c>
      <c r="R334" t="s">
        <v>761</v>
      </c>
      <c r="S334" t="s">
        <v>762</v>
      </c>
      <c r="T334" t="s">
        <v>19</v>
      </c>
      <c r="W334" s="8" t="s">
        <v>713</v>
      </c>
      <c r="X334" s="8" t="s">
        <v>712</v>
      </c>
      <c r="Y334" s="8" t="s">
        <v>760</v>
      </c>
      <c r="Z334" t="str">
        <f t="shared" si="5"/>
        <v>00000334COMPENSABLE EFVO</v>
      </c>
      <c r="AA334" s="11" t="e">
        <f>MATCH(Tabla9[[#This Row],[AUX]],Loockup_ObrasGerencia[[#All],[aux]],0)</f>
        <v>#N/A</v>
      </c>
    </row>
    <row r="335" spans="1:27" x14ac:dyDescent="0.25">
      <c r="A335" s="30" t="s">
        <v>715</v>
      </c>
      <c r="B335" s="30" t="s">
        <v>714</v>
      </c>
      <c r="C335" s="30" t="s">
        <v>17</v>
      </c>
      <c r="D335" s="30" t="str" cm="1">
        <f t="array" ref="D335">UPPER(_xlfn.XLOOKUP(Loockup_ObrasGerencia[[#This Row],[OBRA_PRONTO]],Tabla7[[#All],[Obra]],Tabla7[[#All],[Gerente de obra]],"Sin Obra Asignada",0))</f>
        <v>ORTIZ JUAN MANUEL</v>
      </c>
      <c r="E335" s="31" t="str">
        <f>Loockup_ObrasGerencia[[#This Row],[OBRA_PRONTO]]&amp;Loockup_ObrasGerencia[[#This Row],[GERENCIA]]</f>
        <v>00000336ORTIZ JUAN MANUEL</v>
      </c>
      <c r="H335" t="s">
        <v>728</v>
      </c>
      <c r="I335" t="s">
        <v>729</v>
      </c>
      <c r="J335" t="s">
        <v>24</v>
      </c>
      <c r="K335" t="str">
        <f>Tabla7[[#This Row],[Obra]]&amp;Tabla7[[#This Row],[Gerente de obra]]</f>
        <v>00000343Trujillo</v>
      </c>
      <c r="L335">
        <f>MATCH(Tabla7[[#This Row],[AUX]],Loockup_ObrasGerencia[[#All],[aux]],0)</f>
        <v>342</v>
      </c>
      <c r="O335" t="str">
        <f>UPPER(GERENCIAS[[#This Row],[Gerente de obra]])</f>
        <v>TRUJILLO</v>
      </c>
      <c r="R335" t="s">
        <v>763</v>
      </c>
      <c r="S335" t="s">
        <v>764</v>
      </c>
      <c r="T335" t="s">
        <v>25</v>
      </c>
      <c r="W335" s="8" t="s">
        <v>715</v>
      </c>
      <c r="X335" s="8" t="s">
        <v>714</v>
      </c>
      <c r="Y335" s="8" t="s">
        <v>17</v>
      </c>
      <c r="Z335" t="str">
        <f t="shared" si="5"/>
        <v>00000336SI</v>
      </c>
      <c r="AA335" s="11" t="e">
        <f>MATCH(Tabla9[[#This Row],[AUX]],Loockup_ObrasGerencia[[#All],[aux]],0)</f>
        <v>#N/A</v>
      </c>
    </row>
    <row r="336" spans="1:27" x14ac:dyDescent="0.25">
      <c r="A336" s="30" t="s">
        <v>717</v>
      </c>
      <c r="B336" s="30" t="s">
        <v>716</v>
      </c>
      <c r="C336" s="30" t="s">
        <v>17</v>
      </c>
      <c r="D336" s="30" t="str" cm="1">
        <f t="array" ref="D336">UPPER(_xlfn.XLOOKUP(Loockup_ObrasGerencia[[#This Row],[OBRA_PRONTO]],Tabla7[[#All],[Obra]],Tabla7[[#All],[Gerente de obra]],"Sin Obra Asignada",0))</f>
        <v>FRANCISCO DI LISIO</v>
      </c>
      <c r="E336" s="31" t="str">
        <f>Loockup_ObrasGerencia[[#This Row],[OBRA_PRONTO]]&amp;Loockup_ObrasGerencia[[#This Row],[GERENCIA]]</f>
        <v>00000337FRANCISCO DI LISIO</v>
      </c>
      <c r="H336" t="s">
        <v>730</v>
      </c>
      <c r="I336" t="s">
        <v>731</v>
      </c>
      <c r="J336" t="s">
        <v>24</v>
      </c>
      <c r="K336" t="str">
        <f>Tabla7[[#This Row],[Obra]]&amp;Tabla7[[#This Row],[Gerente de obra]]</f>
        <v>00000344Trujillo</v>
      </c>
      <c r="L336">
        <f>MATCH(Tabla7[[#This Row],[AUX]],Loockup_ObrasGerencia[[#All],[aux]],0)</f>
        <v>343</v>
      </c>
      <c r="O336" t="str">
        <f>UPPER(GERENCIAS[[#This Row],[Gerente de obra]])</f>
        <v>FRANCISCO DI LISIO</v>
      </c>
      <c r="R336" t="s">
        <v>765</v>
      </c>
      <c r="S336" t="s">
        <v>766</v>
      </c>
      <c r="T336" t="s">
        <v>78</v>
      </c>
      <c r="W336" s="8" t="s">
        <v>717</v>
      </c>
      <c r="X336" s="8" t="s">
        <v>716</v>
      </c>
      <c r="Y336" s="8" t="s">
        <v>17</v>
      </c>
      <c r="Z336" t="str">
        <f t="shared" si="5"/>
        <v>00000337SI</v>
      </c>
      <c r="AA336" s="11" t="e">
        <f>MATCH(Tabla9[[#This Row],[AUX]],Loockup_ObrasGerencia[[#All],[aux]],0)</f>
        <v>#N/A</v>
      </c>
    </row>
    <row r="337" spans="1:27" x14ac:dyDescent="0.25">
      <c r="A337" s="30" t="s">
        <v>719</v>
      </c>
      <c r="B337" s="30" t="s">
        <v>718</v>
      </c>
      <c r="C337" s="30" t="s">
        <v>17</v>
      </c>
      <c r="D337" s="30" t="str" cm="1">
        <f t="array" ref="D337">UPPER(_xlfn.XLOOKUP(Loockup_ObrasGerencia[[#This Row],[OBRA_PRONTO]],Tabla7[[#All],[Obra]],Tabla7[[#All],[Gerente de obra]],"Sin Obra Asignada",0))</f>
        <v>ORTIZ JUAN MANUEL</v>
      </c>
      <c r="E337" s="31" t="str">
        <f>Loockup_ObrasGerencia[[#This Row],[OBRA_PRONTO]]&amp;Loockup_ObrasGerencia[[#This Row],[GERENCIA]]</f>
        <v>00000338ORTIZ JUAN MANUEL</v>
      </c>
      <c r="H337" t="s">
        <v>732</v>
      </c>
      <c r="I337" t="s">
        <v>733</v>
      </c>
      <c r="J337" t="s">
        <v>79</v>
      </c>
      <c r="K337" t="str">
        <f>Tabla7[[#This Row],[Obra]]&amp;Tabla7[[#This Row],[Gerente de obra]]</f>
        <v>00000346Francisco Di Lisio</v>
      </c>
      <c r="L337">
        <f>MATCH(Tabla7[[#This Row],[AUX]],Loockup_ObrasGerencia[[#All],[aux]],0)</f>
        <v>345</v>
      </c>
      <c r="O337" t="str">
        <f>UPPER(GERENCIAS[[#This Row],[Gerente de obra]])</f>
        <v>CALDERON JUAN IGNACIO</v>
      </c>
      <c r="R337" t="s">
        <v>767</v>
      </c>
      <c r="S337" t="s">
        <v>768</v>
      </c>
      <c r="T337" t="s">
        <v>35</v>
      </c>
      <c r="W337" s="8" t="s">
        <v>719</v>
      </c>
      <c r="X337" s="8" t="s">
        <v>718</v>
      </c>
      <c r="Y337" s="8" t="s">
        <v>17</v>
      </c>
      <c r="Z337" t="str">
        <f t="shared" si="5"/>
        <v>00000338SI</v>
      </c>
      <c r="AA337" s="11" t="e">
        <f>MATCH(Tabla9[[#This Row],[AUX]],Loockup_ObrasGerencia[[#All],[aux]],0)</f>
        <v>#N/A</v>
      </c>
    </row>
    <row r="338" spans="1:27" x14ac:dyDescent="0.25">
      <c r="A338" s="30" t="s">
        <v>721</v>
      </c>
      <c r="B338" s="30" t="s">
        <v>720</v>
      </c>
      <c r="C338" s="30" t="s">
        <v>17</v>
      </c>
      <c r="D338" s="30" t="str" cm="1">
        <f t="array" ref="D338">UPPER(_xlfn.XLOOKUP(Loockup_ObrasGerencia[[#This Row],[OBRA_PRONTO]],Tabla7[[#All],[Obra]],Tabla7[[#All],[Gerente de obra]],"Sin Obra Asignada",0))</f>
        <v>BARONE ALBERTO</v>
      </c>
      <c r="E338" s="31" t="str">
        <f>Loockup_ObrasGerencia[[#This Row],[OBRA_PRONTO]]&amp;Loockup_ObrasGerencia[[#This Row],[GERENCIA]]</f>
        <v>00000339BARONE ALBERTO</v>
      </c>
      <c r="H338" t="s">
        <v>734</v>
      </c>
      <c r="I338" t="s">
        <v>735</v>
      </c>
      <c r="J338" t="s">
        <v>79</v>
      </c>
      <c r="K338" t="str">
        <f>Tabla7[[#This Row],[Obra]]&amp;Tabla7[[#This Row],[Gerente de obra]]</f>
        <v>00000348Francisco Di Lisio</v>
      </c>
      <c r="L338">
        <f>MATCH(Tabla7[[#This Row],[AUX]],Loockup_ObrasGerencia[[#All],[aux]],0)</f>
        <v>347</v>
      </c>
      <c r="O338" t="str">
        <f>UPPER(GERENCIAS[[#This Row],[Gerente de obra]])</f>
        <v>FRANCISCO DI LISIO</v>
      </c>
      <c r="R338" t="s">
        <v>769</v>
      </c>
      <c r="S338" t="s">
        <v>770</v>
      </c>
      <c r="T338" t="s">
        <v>78</v>
      </c>
      <c r="W338" s="8" t="s">
        <v>721</v>
      </c>
      <c r="X338" s="8" t="s">
        <v>720</v>
      </c>
      <c r="Y338" s="8" t="s">
        <v>17</v>
      </c>
      <c r="Z338" t="str">
        <f t="shared" si="5"/>
        <v>00000339SI</v>
      </c>
      <c r="AA338" s="11" t="e">
        <f>MATCH(Tabla9[[#This Row],[AUX]],Loockup_ObrasGerencia[[#All],[aux]],0)</f>
        <v>#N/A</v>
      </c>
    </row>
    <row r="339" spans="1:27" x14ac:dyDescent="0.25">
      <c r="A339" s="30" t="s">
        <v>723</v>
      </c>
      <c r="B339" s="30" t="s">
        <v>722</v>
      </c>
      <c r="C339" s="30" t="s">
        <v>17</v>
      </c>
      <c r="D339" s="30" t="str" cm="1">
        <f t="array" ref="D339">UPPER(_xlfn.XLOOKUP(Loockup_ObrasGerencia[[#This Row],[OBRA_PRONTO]],Tabla7[[#All],[Obra]],Tabla7[[#All],[Gerente de obra]],"Sin Obra Asignada",0))</f>
        <v>ORTIZ JUAN MANUEL</v>
      </c>
      <c r="E339" s="31" t="str">
        <f>Loockup_ObrasGerencia[[#This Row],[OBRA_PRONTO]]&amp;Loockup_ObrasGerencia[[#This Row],[GERENCIA]]</f>
        <v>00000340ORTIZ JUAN MANUEL</v>
      </c>
      <c r="H339" t="s">
        <v>736</v>
      </c>
      <c r="I339" t="s">
        <v>737</v>
      </c>
      <c r="J339" t="s">
        <v>79</v>
      </c>
      <c r="K339" t="str">
        <f>Tabla7[[#This Row],[Obra]]&amp;Tabla7[[#This Row],[Gerente de obra]]</f>
        <v>00000349Francisco Di Lisio</v>
      </c>
      <c r="L339">
        <f>MATCH(Tabla7[[#This Row],[AUX]],Loockup_ObrasGerencia[[#All],[aux]],0)</f>
        <v>348</v>
      </c>
      <c r="O339" t="str">
        <f>UPPER(GERENCIAS[[#This Row],[Gerente de obra]])</f>
        <v>FRANCISCO DI LISIO</v>
      </c>
      <c r="R339" t="s">
        <v>771</v>
      </c>
      <c r="S339" t="s">
        <v>772</v>
      </c>
      <c r="T339" t="s">
        <v>78</v>
      </c>
      <c r="W339" s="8" t="s">
        <v>723</v>
      </c>
      <c r="X339" s="8" t="s">
        <v>722</v>
      </c>
      <c r="Y339" s="8" t="s">
        <v>17</v>
      </c>
      <c r="Z339" t="str">
        <f t="shared" si="5"/>
        <v>00000340SI</v>
      </c>
      <c r="AA339" s="11" t="e">
        <f>MATCH(Tabla9[[#This Row],[AUX]],Loockup_ObrasGerencia[[#All],[aux]],0)</f>
        <v>#N/A</v>
      </c>
    </row>
    <row r="340" spans="1:27" x14ac:dyDescent="0.25">
      <c r="A340" s="30" t="s">
        <v>725</v>
      </c>
      <c r="B340" s="30" t="s">
        <v>724</v>
      </c>
      <c r="C340" s="30" t="s">
        <v>17</v>
      </c>
      <c r="D340" s="30" t="str" cm="1">
        <f t="array" ref="D340">UPPER(_xlfn.XLOOKUP(Loockup_ObrasGerencia[[#This Row],[OBRA_PRONTO]],Tabla7[[#All],[Obra]],Tabla7[[#All],[Gerente de obra]],"Sin Obra Asignada",0))</f>
        <v>ORTIZ JUAN MANUEL</v>
      </c>
      <c r="E340" s="31" t="str">
        <f>Loockup_ObrasGerencia[[#This Row],[OBRA_PRONTO]]&amp;Loockup_ObrasGerencia[[#This Row],[GERENCIA]]</f>
        <v>00000341ORTIZ JUAN MANUEL</v>
      </c>
      <c r="H340" t="s">
        <v>740</v>
      </c>
      <c r="I340" t="s">
        <v>741</v>
      </c>
      <c r="J340" t="s">
        <v>79</v>
      </c>
      <c r="K340" t="str">
        <f>Tabla7[[#This Row],[Obra]]&amp;Tabla7[[#This Row],[Gerente de obra]]</f>
        <v>00000350Francisco Di Lisio</v>
      </c>
      <c r="L340">
        <f>MATCH(Tabla7[[#This Row],[AUX]],Loockup_ObrasGerencia[[#All],[aux]],0)</f>
        <v>349</v>
      </c>
      <c r="O340" t="str">
        <f>UPPER(GERENCIAS[[#This Row],[Gerente de obra]])</f>
        <v>FRANCISCO DI LISIO</v>
      </c>
      <c r="R340" t="s">
        <v>773</v>
      </c>
      <c r="S340" t="s">
        <v>774</v>
      </c>
      <c r="T340" t="s">
        <v>78</v>
      </c>
      <c r="W340" s="8" t="s">
        <v>725</v>
      </c>
      <c r="X340" s="8" t="s">
        <v>724</v>
      </c>
      <c r="Y340" s="8" t="s">
        <v>17</v>
      </c>
      <c r="Z340" t="str">
        <f t="shared" si="5"/>
        <v>00000341SI</v>
      </c>
      <c r="AA340" s="11" t="e">
        <f>MATCH(Tabla9[[#This Row],[AUX]],Loockup_ObrasGerencia[[#All],[aux]],0)</f>
        <v>#N/A</v>
      </c>
    </row>
    <row r="341" spans="1:27" x14ac:dyDescent="0.25">
      <c r="A341" s="30" t="s">
        <v>727</v>
      </c>
      <c r="B341" s="30" t="s">
        <v>726</v>
      </c>
      <c r="C341" s="30" t="s">
        <v>17</v>
      </c>
      <c r="D341" s="30" t="str" cm="1">
        <f t="array" ref="D341">UPPER(_xlfn.XLOOKUP(Loockup_ObrasGerencia[[#This Row],[OBRA_PRONTO]],Tabla7[[#All],[Obra]],Tabla7[[#All],[Gerente de obra]],"Sin Obra Asignada",0))</f>
        <v>TRUJILLO</v>
      </c>
      <c r="E341" s="31" t="str">
        <f>Loockup_ObrasGerencia[[#This Row],[OBRA_PRONTO]]&amp;Loockup_ObrasGerencia[[#This Row],[GERENCIA]]</f>
        <v>00000342TRUJILLO</v>
      </c>
      <c r="H341" t="s">
        <v>742</v>
      </c>
      <c r="I341" t="s">
        <v>743</v>
      </c>
      <c r="J341" t="s">
        <v>24</v>
      </c>
      <c r="K341" t="str">
        <f>Tabla7[[#This Row],[Obra]]&amp;Tabla7[[#This Row],[Gerente de obra]]</f>
        <v>00000351Trujillo</v>
      </c>
      <c r="L341">
        <f>MATCH(Tabla7[[#This Row],[AUX]],Loockup_ObrasGerencia[[#All],[aux]],0)</f>
        <v>350</v>
      </c>
      <c r="O341" t="str">
        <f>UPPER(GERENCIAS[[#This Row],[Gerente de obra]])</f>
        <v>FRANCISCO DI LISIO</v>
      </c>
      <c r="R341" t="s">
        <v>775</v>
      </c>
      <c r="S341" t="s">
        <v>776</v>
      </c>
      <c r="T341" t="s">
        <v>78</v>
      </c>
      <c r="W341" s="8" t="s">
        <v>727</v>
      </c>
      <c r="X341" s="8" t="s">
        <v>726</v>
      </c>
      <c r="Y341" s="8" t="s">
        <v>17</v>
      </c>
      <c r="Z341" t="str">
        <f t="shared" si="5"/>
        <v>00000342SI</v>
      </c>
      <c r="AA341" s="11" t="e">
        <f>MATCH(Tabla9[[#This Row],[AUX]],Loockup_ObrasGerencia[[#All],[aux]],0)</f>
        <v>#N/A</v>
      </c>
    </row>
    <row r="342" spans="1:27" x14ac:dyDescent="0.25">
      <c r="A342" s="30" t="s">
        <v>729</v>
      </c>
      <c r="B342" s="30" t="s">
        <v>728</v>
      </c>
      <c r="C342" s="30" t="s">
        <v>17</v>
      </c>
      <c r="D342" s="30" t="str" cm="1">
        <f t="array" ref="D342">UPPER(_xlfn.XLOOKUP(Loockup_ObrasGerencia[[#This Row],[OBRA_PRONTO]],Tabla7[[#All],[Obra]],Tabla7[[#All],[Gerente de obra]],"Sin Obra Asignada",0))</f>
        <v>TRUJILLO</v>
      </c>
      <c r="E342" s="31" t="str">
        <f>Loockup_ObrasGerencia[[#This Row],[OBRA_PRONTO]]&amp;Loockup_ObrasGerencia[[#This Row],[GERENCIA]]</f>
        <v>00000343TRUJILLO</v>
      </c>
      <c r="H342" t="s">
        <v>746</v>
      </c>
      <c r="I342" t="s">
        <v>747</v>
      </c>
      <c r="J342" t="s">
        <v>79</v>
      </c>
      <c r="K342" t="str">
        <f>Tabla7[[#This Row],[Obra]]&amp;Tabla7[[#This Row],[Gerente de obra]]</f>
        <v>00000352Francisco Di Lisio</v>
      </c>
      <c r="L342">
        <f>MATCH(Tabla7[[#This Row],[AUX]],Loockup_ObrasGerencia[[#All],[aux]],0)</f>
        <v>351</v>
      </c>
      <c r="O342" t="str">
        <f>UPPER(GERENCIAS[[#This Row],[Gerente de obra]])</f>
        <v>TRUJILLO</v>
      </c>
      <c r="R342" t="s">
        <v>777</v>
      </c>
      <c r="S342" t="s">
        <v>778</v>
      </c>
      <c r="T342" t="s">
        <v>25</v>
      </c>
      <c r="W342" s="8" t="s">
        <v>729</v>
      </c>
      <c r="X342" s="8" t="s">
        <v>728</v>
      </c>
      <c r="Y342" s="8" t="s">
        <v>17</v>
      </c>
      <c r="Z342" t="str">
        <f t="shared" si="5"/>
        <v>00000343SI</v>
      </c>
      <c r="AA342" s="11" t="e">
        <f>MATCH(Tabla9[[#This Row],[AUX]],Loockup_ObrasGerencia[[#All],[aux]],0)</f>
        <v>#N/A</v>
      </c>
    </row>
    <row r="343" spans="1:27" x14ac:dyDescent="0.25">
      <c r="A343" s="30" t="s">
        <v>731</v>
      </c>
      <c r="B343" s="30" t="s">
        <v>730</v>
      </c>
      <c r="C343" s="30" t="s">
        <v>17</v>
      </c>
      <c r="D343" s="30" t="str" cm="1">
        <f t="array" ref="D343">UPPER(_xlfn.XLOOKUP(Loockup_ObrasGerencia[[#This Row],[OBRA_PRONTO]],Tabla7[[#All],[Obra]],Tabla7[[#All],[Gerente de obra]],"Sin Obra Asignada",0))</f>
        <v>TRUJILLO</v>
      </c>
      <c r="E343" s="31" t="str">
        <f>Loockup_ObrasGerencia[[#This Row],[OBRA_PRONTO]]&amp;Loockup_ObrasGerencia[[#This Row],[GERENCIA]]</f>
        <v>00000344TRUJILLO</v>
      </c>
      <c r="H343" t="s">
        <v>748</v>
      </c>
      <c r="I343" t="s">
        <v>749</v>
      </c>
      <c r="J343" t="s">
        <v>79</v>
      </c>
      <c r="K343" t="str">
        <f>Tabla7[[#This Row],[Obra]]&amp;Tabla7[[#This Row],[Gerente de obra]]</f>
        <v>00000354Francisco Di Lisio</v>
      </c>
      <c r="L343">
        <f>MATCH(Tabla7[[#This Row],[AUX]],Loockup_ObrasGerencia[[#All],[aux]],0)</f>
        <v>353</v>
      </c>
      <c r="O343" t="str">
        <f>UPPER(GERENCIAS[[#This Row],[Gerente de obra]])</f>
        <v>FANJUL NICOLÁS</v>
      </c>
      <c r="R343" t="s">
        <v>779</v>
      </c>
      <c r="S343" t="s">
        <v>780</v>
      </c>
      <c r="T343" t="s">
        <v>226</v>
      </c>
      <c r="W343" s="8" t="s">
        <v>731</v>
      </c>
      <c r="X343" s="8" t="s">
        <v>730</v>
      </c>
      <c r="Y343" s="8" t="s">
        <v>17</v>
      </c>
      <c r="Z343" t="str">
        <f t="shared" si="5"/>
        <v>00000344SI</v>
      </c>
      <c r="AA343" s="11" t="e">
        <f>MATCH(Tabla9[[#This Row],[AUX]],Loockup_ObrasGerencia[[#All],[aux]],0)</f>
        <v>#N/A</v>
      </c>
    </row>
    <row r="344" spans="1:27" x14ac:dyDescent="0.25">
      <c r="A344" s="30" t="s">
        <v>781</v>
      </c>
      <c r="B344" s="30" t="s">
        <v>782</v>
      </c>
      <c r="C344" s="30" t="s">
        <v>17</v>
      </c>
      <c r="D344" s="30" t="str" cm="1">
        <f t="array" ref="D344">UPPER(_xlfn.XLOOKUP(Loockup_ObrasGerencia[[#This Row],[OBRA_PRONTO]],Tabla7[[#All],[Obra]],Tabla7[[#All],[Gerente de obra]],"Sin Obra Asignada",0))</f>
        <v>SIN OBRA ASIGNADA</v>
      </c>
      <c r="E344" s="31" t="str">
        <f>Loockup_ObrasGerencia[[#This Row],[OBRA_PRONTO]]&amp;Loockup_ObrasGerencia[[#This Row],[GERENCIA]]</f>
        <v>00000345SIN OBRA ASIGNADA</v>
      </c>
      <c r="H344" t="s">
        <v>750</v>
      </c>
      <c r="I344" t="s">
        <v>751</v>
      </c>
      <c r="J344" t="s">
        <v>24</v>
      </c>
      <c r="K344" t="str">
        <f>Tabla7[[#This Row],[Obra]]&amp;Tabla7[[#This Row],[Gerente de obra]]</f>
        <v>00000355Trujillo</v>
      </c>
      <c r="L344">
        <f>MATCH(Tabla7[[#This Row],[AUX]],Loockup_ObrasGerencia[[#All],[aux]],0)</f>
        <v>354</v>
      </c>
      <c r="O344" t="str">
        <f>UPPER(GERENCIAS[[#This Row],[Gerente de obra]])</f>
        <v>FANJUL NICOLÁS</v>
      </c>
      <c r="R344" t="s">
        <v>783</v>
      </c>
      <c r="S344" t="s">
        <v>784</v>
      </c>
      <c r="T344" t="s">
        <v>226</v>
      </c>
      <c r="W344" s="8" t="s">
        <v>781</v>
      </c>
      <c r="X344" s="8" t="s">
        <v>782</v>
      </c>
      <c r="Y344" s="8" t="s">
        <v>17</v>
      </c>
      <c r="Z344" t="str">
        <f t="shared" si="5"/>
        <v>00000345SI</v>
      </c>
      <c r="AA344" s="11" t="e">
        <f>MATCH(Tabla9[[#This Row],[AUX]],Loockup_ObrasGerencia[[#All],[aux]],0)</f>
        <v>#N/A</v>
      </c>
    </row>
    <row r="345" spans="1:27" x14ac:dyDescent="0.25">
      <c r="A345" s="30" t="s">
        <v>733</v>
      </c>
      <c r="B345" s="30" t="s">
        <v>732</v>
      </c>
      <c r="C345" s="30" t="s">
        <v>17</v>
      </c>
      <c r="D345" s="30" t="str" cm="1">
        <f t="array" ref="D345">UPPER(_xlfn.XLOOKUP(Loockup_ObrasGerencia[[#This Row],[OBRA_PRONTO]],Tabla7[[#All],[Obra]],Tabla7[[#All],[Gerente de obra]],"Sin Obra Asignada",0))</f>
        <v>FRANCISCO DI LISIO</v>
      </c>
      <c r="E345" s="31" t="str">
        <f>Loockup_ObrasGerencia[[#This Row],[OBRA_PRONTO]]&amp;Loockup_ObrasGerencia[[#This Row],[GERENCIA]]</f>
        <v>00000346FRANCISCO DI LISIO</v>
      </c>
      <c r="H345" t="s">
        <v>752</v>
      </c>
      <c r="I345" t="s">
        <v>753</v>
      </c>
      <c r="J345" t="s">
        <v>79</v>
      </c>
      <c r="K345" t="str">
        <f>Tabla7[[#This Row],[Obra]]&amp;Tabla7[[#This Row],[Gerente de obra]]</f>
        <v>00000357Francisco Di Lisio</v>
      </c>
      <c r="L345">
        <f>MATCH(Tabla7[[#This Row],[AUX]],Loockup_ObrasGerencia[[#All],[aux]],0)</f>
        <v>356</v>
      </c>
      <c r="O345" t="str">
        <f>UPPER(GERENCIAS[[#This Row],[Gerente de obra]])</f>
        <v>FANJUL NICOLÁS</v>
      </c>
      <c r="R345" t="s">
        <v>785</v>
      </c>
      <c r="S345" t="s">
        <v>786</v>
      </c>
      <c r="T345" t="s">
        <v>226</v>
      </c>
      <c r="W345" s="8" t="s">
        <v>733</v>
      </c>
      <c r="X345" s="8" t="s">
        <v>732</v>
      </c>
      <c r="Y345" s="8" t="s">
        <v>17</v>
      </c>
      <c r="Z345" t="str">
        <f t="shared" si="5"/>
        <v>00000346SI</v>
      </c>
      <c r="AA345" s="11" t="e">
        <f>MATCH(Tabla9[[#This Row],[AUX]],Loockup_ObrasGerencia[[#All],[aux]],0)</f>
        <v>#N/A</v>
      </c>
    </row>
    <row r="346" spans="1:27" x14ac:dyDescent="0.25">
      <c r="A346" s="30" t="s">
        <v>787</v>
      </c>
      <c r="B346" s="30" t="s">
        <v>788</v>
      </c>
      <c r="C346" s="30" t="s">
        <v>634</v>
      </c>
      <c r="D346" s="30" t="str" cm="1">
        <f t="array" ref="D346">UPPER(_xlfn.XLOOKUP(Loockup_ObrasGerencia[[#This Row],[OBRA_PRONTO]],Tabla7[[#All],[Obra]],Tabla7[[#All],[Gerente de obra]],"Sin Obra Asignada",0))</f>
        <v>SIN OBRA ASIGNADA</v>
      </c>
      <c r="E346" s="31" t="str">
        <f>Loockup_ObrasGerencia[[#This Row],[OBRA_PRONTO]]&amp;Loockup_ObrasGerencia[[#This Row],[GERENCIA]]</f>
        <v>00000347SIN OBRA ASIGNADA</v>
      </c>
      <c r="H346" t="s">
        <v>754</v>
      </c>
      <c r="I346" t="s">
        <v>755</v>
      </c>
      <c r="J346" t="s">
        <v>18</v>
      </c>
      <c r="K346" t="str">
        <f>Tabla7[[#This Row],[Obra]]&amp;Tabla7[[#This Row],[Gerente de obra]]</f>
        <v>00000358Ortiz Juan Manuel</v>
      </c>
      <c r="L346">
        <f>MATCH(Tabla7[[#This Row],[AUX]],Loockup_ObrasGerencia[[#All],[aux]],0)</f>
        <v>357</v>
      </c>
      <c r="O346" t="str">
        <f>UPPER(GERENCIAS[[#This Row],[Gerente de obra]])</f>
        <v>FANJUL NICOLÁS</v>
      </c>
      <c r="R346" t="s">
        <v>789</v>
      </c>
      <c r="S346" t="s">
        <v>790</v>
      </c>
      <c r="T346" t="s">
        <v>226</v>
      </c>
      <c r="W346" s="8" t="s">
        <v>787</v>
      </c>
      <c r="X346" s="8" t="s">
        <v>788</v>
      </c>
      <c r="Y346" s="8" t="s">
        <v>634</v>
      </c>
      <c r="Z346" t="str">
        <f t="shared" si="5"/>
        <v>00000347COMPENSABLE GASTOS DE SEDE</v>
      </c>
      <c r="AA346" s="11" t="e">
        <f>MATCH(Tabla9[[#This Row],[AUX]],Loockup_ObrasGerencia[[#All],[aux]],0)</f>
        <v>#N/A</v>
      </c>
    </row>
    <row r="347" spans="1:27" x14ac:dyDescent="0.25">
      <c r="A347" s="30" t="s">
        <v>735</v>
      </c>
      <c r="B347" s="30" t="s">
        <v>734</v>
      </c>
      <c r="C347" s="30" t="s">
        <v>17</v>
      </c>
      <c r="D347" s="30" t="str" cm="1">
        <f t="array" ref="D347">UPPER(_xlfn.XLOOKUP(Loockup_ObrasGerencia[[#This Row],[OBRA_PRONTO]],Tabla7[[#All],[Obra]],Tabla7[[#All],[Gerente de obra]],"Sin Obra Asignada",0))</f>
        <v>FRANCISCO DI LISIO</v>
      </c>
      <c r="E347" s="31" t="str">
        <f>Loockup_ObrasGerencia[[#This Row],[OBRA_PRONTO]]&amp;Loockup_ObrasGerencia[[#This Row],[GERENCIA]]</f>
        <v>00000348FRANCISCO DI LISIO</v>
      </c>
      <c r="H347" t="s">
        <v>756</v>
      </c>
      <c r="I347" t="s">
        <v>757</v>
      </c>
      <c r="J347" t="s">
        <v>18</v>
      </c>
      <c r="K347" t="str">
        <f>Tabla7[[#This Row],[Obra]]&amp;Tabla7[[#This Row],[Gerente de obra]]</f>
        <v>00000359Ortiz Juan Manuel</v>
      </c>
      <c r="L347">
        <f>MATCH(Tabla7[[#This Row],[AUX]],Loockup_ObrasGerencia[[#All],[aux]],0)</f>
        <v>358</v>
      </c>
      <c r="O347" t="str">
        <f>UPPER(GERENCIAS[[#This Row],[Gerente de obra]])</f>
        <v>FANJUL NICOLÁS</v>
      </c>
      <c r="R347" t="s">
        <v>791</v>
      </c>
      <c r="S347" t="s">
        <v>792</v>
      </c>
      <c r="T347" t="s">
        <v>226</v>
      </c>
      <c r="W347" s="8" t="s">
        <v>735</v>
      </c>
      <c r="X347" s="8" t="s">
        <v>734</v>
      </c>
      <c r="Y347" s="8" t="s">
        <v>17</v>
      </c>
      <c r="Z347" t="str">
        <f t="shared" si="5"/>
        <v>00000348SI</v>
      </c>
      <c r="AA347" s="11" t="e">
        <f>MATCH(Tabla9[[#This Row],[AUX]],Loockup_ObrasGerencia[[#All],[aux]],0)</f>
        <v>#N/A</v>
      </c>
    </row>
    <row r="348" spans="1:27" x14ac:dyDescent="0.25">
      <c r="A348" s="30" t="s">
        <v>737</v>
      </c>
      <c r="B348" s="30" t="s">
        <v>736</v>
      </c>
      <c r="C348" s="30" t="s">
        <v>17</v>
      </c>
      <c r="D348" s="30" t="str" cm="1">
        <f t="array" ref="D348">UPPER(_xlfn.XLOOKUP(Loockup_ObrasGerencia[[#This Row],[OBRA_PRONTO]],Tabla7[[#All],[Obra]],Tabla7[[#All],[Gerente de obra]],"Sin Obra Asignada",0))</f>
        <v>FRANCISCO DI LISIO</v>
      </c>
      <c r="E348" s="31" t="str">
        <f>Loockup_ObrasGerencia[[#This Row],[OBRA_PRONTO]]&amp;Loockup_ObrasGerencia[[#This Row],[GERENCIA]]</f>
        <v>00000349FRANCISCO DI LISIO</v>
      </c>
      <c r="H348" t="s">
        <v>758</v>
      </c>
      <c r="I348" t="s">
        <v>759</v>
      </c>
      <c r="J348" t="s">
        <v>18</v>
      </c>
      <c r="K348" t="str">
        <f>Tabla7[[#This Row],[Obra]]&amp;Tabla7[[#This Row],[Gerente de obra]]</f>
        <v>00000360Ortiz Juan Manuel</v>
      </c>
      <c r="L348">
        <f>MATCH(Tabla7[[#This Row],[AUX]],Loockup_ObrasGerencia[[#All],[aux]],0)</f>
        <v>359</v>
      </c>
      <c r="O348" t="str">
        <f>UPPER(GERENCIAS[[#This Row],[Gerente de obra]])</f>
        <v>CATRIEL GISELA</v>
      </c>
      <c r="R348" t="s">
        <v>793</v>
      </c>
      <c r="S348" t="s">
        <v>794</v>
      </c>
      <c r="T348" t="s">
        <v>243</v>
      </c>
      <c r="W348" s="8" t="s">
        <v>737</v>
      </c>
      <c r="X348" s="8" t="s">
        <v>736</v>
      </c>
      <c r="Y348" s="8" t="s">
        <v>17</v>
      </c>
      <c r="Z348" t="str">
        <f t="shared" si="5"/>
        <v>00000349SI</v>
      </c>
      <c r="AA348" s="11" t="e">
        <f>MATCH(Tabla9[[#This Row],[AUX]],Loockup_ObrasGerencia[[#All],[aux]],0)</f>
        <v>#N/A</v>
      </c>
    </row>
    <row r="349" spans="1:27" x14ac:dyDescent="0.25">
      <c r="A349" s="30" t="s">
        <v>741</v>
      </c>
      <c r="B349" s="30" t="s">
        <v>740</v>
      </c>
      <c r="C349" s="30" t="s">
        <v>17</v>
      </c>
      <c r="D349" s="30" t="str" cm="1">
        <f t="array" ref="D349">UPPER(_xlfn.XLOOKUP(Loockup_ObrasGerencia[[#This Row],[OBRA_PRONTO]],Tabla7[[#All],[Obra]],Tabla7[[#All],[Gerente de obra]],"Sin Obra Asignada",0))</f>
        <v>FRANCISCO DI LISIO</v>
      </c>
      <c r="E349" s="31" t="str">
        <f>Loockup_ObrasGerencia[[#This Row],[OBRA_PRONTO]]&amp;Loockup_ObrasGerencia[[#This Row],[GERENCIA]]</f>
        <v>00000350FRANCISCO DI LISIO</v>
      </c>
      <c r="H349" t="s">
        <v>761</v>
      </c>
      <c r="I349" t="s">
        <v>762</v>
      </c>
      <c r="J349" t="s">
        <v>18</v>
      </c>
      <c r="K349" t="str">
        <f>Tabla7[[#This Row],[Obra]]&amp;Tabla7[[#This Row],[Gerente de obra]]</f>
        <v>00000361Ortiz Juan Manuel</v>
      </c>
      <c r="L349">
        <f>MATCH(Tabla7[[#This Row],[AUX]],Loockup_ObrasGerencia[[#All],[aux]],0)</f>
        <v>360</v>
      </c>
      <c r="O349" t="str">
        <f>UPPER(GERENCIAS[[#This Row],[Gerente de obra]])</f>
        <v>CATRIEL GISELA</v>
      </c>
      <c r="R349" t="s">
        <v>795</v>
      </c>
      <c r="S349" t="s">
        <v>796</v>
      </c>
      <c r="T349" t="s">
        <v>243</v>
      </c>
      <c r="W349" s="8" t="s">
        <v>741</v>
      </c>
      <c r="X349" s="8" t="s">
        <v>740</v>
      </c>
      <c r="Y349" s="8" t="s">
        <v>17</v>
      </c>
      <c r="Z349" t="str">
        <f t="shared" si="5"/>
        <v>00000350SI</v>
      </c>
      <c r="AA349" s="11" t="e">
        <f>MATCH(Tabla9[[#This Row],[AUX]],Loockup_ObrasGerencia[[#All],[aux]],0)</f>
        <v>#N/A</v>
      </c>
    </row>
    <row r="350" spans="1:27" x14ac:dyDescent="0.25">
      <c r="A350" s="30" t="s">
        <v>743</v>
      </c>
      <c r="B350" s="30" t="s">
        <v>742</v>
      </c>
      <c r="C350" s="30" t="s">
        <v>17</v>
      </c>
      <c r="D350" s="30" t="str" cm="1">
        <f t="array" ref="D350">UPPER(_xlfn.XLOOKUP(Loockup_ObrasGerencia[[#This Row],[OBRA_PRONTO]],Tabla7[[#All],[Obra]],Tabla7[[#All],[Gerente de obra]],"Sin Obra Asignada",0))</f>
        <v>TRUJILLO</v>
      </c>
      <c r="E350" s="31" t="str">
        <f>Loockup_ObrasGerencia[[#This Row],[OBRA_PRONTO]]&amp;Loockup_ObrasGerencia[[#This Row],[GERENCIA]]</f>
        <v>00000351TRUJILLO</v>
      </c>
      <c r="H350" t="s">
        <v>763</v>
      </c>
      <c r="I350" t="s">
        <v>764</v>
      </c>
      <c r="J350" t="s">
        <v>24</v>
      </c>
      <c r="K350" t="str">
        <f>Tabla7[[#This Row],[Obra]]&amp;Tabla7[[#This Row],[Gerente de obra]]</f>
        <v>00000363Trujillo</v>
      </c>
      <c r="L350">
        <f>MATCH(Tabla7[[#This Row],[AUX]],Loockup_ObrasGerencia[[#All],[aux]],0)</f>
        <v>362</v>
      </c>
      <c r="O350" t="str">
        <f>UPPER(GERENCIAS[[#This Row],[Gerente de obra]])</f>
        <v>METZLER JAVIER</v>
      </c>
      <c r="R350" t="s">
        <v>797</v>
      </c>
      <c r="S350" t="s">
        <v>798</v>
      </c>
      <c r="T350" t="s">
        <v>68</v>
      </c>
      <c r="W350" s="8" t="s">
        <v>743</v>
      </c>
      <c r="X350" s="8" t="s">
        <v>742</v>
      </c>
      <c r="Y350" s="8" t="s">
        <v>17</v>
      </c>
      <c r="Z350" t="str">
        <f t="shared" si="5"/>
        <v>00000351SI</v>
      </c>
      <c r="AA350" s="11" t="e">
        <f>MATCH(Tabla9[[#This Row],[AUX]],Loockup_ObrasGerencia[[#All],[aux]],0)</f>
        <v>#N/A</v>
      </c>
    </row>
    <row r="351" spans="1:27" x14ac:dyDescent="0.25">
      <c r="A351" s="30" t="s">
        <v>747</v>
      </c>
      <c r="B351" s="30" t="s">
        <v>746</v>
      </c>
      <c r="C351" s="30" t="s">
        <v>17</v>
      </c>
      <c r="D351" s="30" t="str" cm="1">
        <f t="array" ref="D351">UPPER(_xlfn.XLOOKUP(Loockup_ObrasGerencia[[#This Row],[OBRA_PRONTO]],Tabla7[[#All],[Obra]],Tabla7[[#All],[Gerente de obra]],"Sin Obra Asignada",0))</f>
        <v>FRANCISCO DI LISIO</v>
      </c>
      <c r="E351" s="31" t="str">
        <f>Loockup_ObrasGerencia[[#This Row],[OBRA_PRONTO]]&amp;Loockup_ObrasGerencia[[#This Row],[GERENCIA]]</f>
        <v>00000352FRANCISCO DI LISIO</v>
      </c>
      <c r="H351" t="s">
        <v>765</v>
      </c>
      <c r="I351" t="s">
        <v>766</v>
      </c>
      <c r="J351" t="s">
        <v>79</v>
      </c>
      <c r="K351" t="str">
        <f>Tabla7[[#This Row],[Obra]]&amp;Tabla7[[#This Row],[Gerente de obra]]</f>
        <v>00000364Francisco Di Lisio</v>
      </c>
      <c r="L351">
        <f>MATCH(Tabla7[[#This Row],[AUX]],Loockup_ObrasGerencia[[#All],[aux]],0)</f>
        <v>363</v>
      </c>
      <c r="O351" t="str">
        <f>UPPER(GERENCIAS[[#This Row],[Gerente de obra]])</f>
        <v>FRANCISCO DI LISIO</v>
      </c>
      <c r="R351" t="s">
        <v>799</v>
      </c>
      <c r="S351" t="s">
        <v>800</v>
      </c>
      <c r="T351" t="s">
        <v>78</v>
      </c>
      <c r="W351" s="8" t="s">
        <v>747</v>
      </c>
      <c r="X351" s="8" t="s">
        <v>746</v>
      </c>
      <c r="Y351" s="8" t="s">
        <v>17</v>
      </c>
      <c r="Z351" t="str">
        <f t="shared" si="5"/>
        <v>00000352SI</v>
      </c>
      <c r="AA351" s="11" t="e">
        <f>MATCH(Tabla9[[#This Row],[AUX]],Loockup_ObrasGerencia[[#All],[aux]],0)</f>
        <v>#N/A</v>
      </c>
    </row>
    <row r="352" spans="1:27" x14ac:dyDescent="0.25">
      <c r="A352" s="30" t="s">
        <v>801</v>
      </c>
      <c r="B352" s="30" t="s">
        <v>802</v>
      </c>
      <c r="C352" s="30" t="s">
        <v>17</v>
      </c>
      <c r="D352" s="30" t="str" cm="1">
        <f t="array" ref="D352">UPPER(_xlfn.XLOOKUP(Loockup_ObrasGerencia[[#This Row],[OBRA_PRONTO]],Tabla7[[#All],[Obra]],Tabla7[[#All],[Gerente de obra]],"Sin Obra Asignada",0))</f>
        <v>SIN OBRA ASIGNADA</v>
      </c>
      <c r="E352" s="31" t="str">
        <f>Loockup_ObrasGerencia[[#This Row],[OBRA_PRONTO]]&amp;Loockup_ObrasGerencia[[#This Row],[GERENCIA]]</f>
        <v>00000353SIN OBRA ASIGNADA</v>
      </c>
      <c r="H352" t="s">
        <v>767</v>
      </c>
      <c r="I352" t="s">
        <v>768</v>
      </c>
      <c r="J352" t="s">
        <v>34</v>
      </c>
      <c r="K352" t="str">
        <f>Tabla7[[#This Row],[Obra]]&amp;Tabla7[[#This Row],[Gerente de obra]]</f>
        <v>00000365Calderon Juan Ignacio</v>
      </c>
      <c r="L352">
        <f>MATCH(Tabla7[[#This Row],[AUX]],Loockup_ObrasGerencia[[#All],[aux]],0)</f>
        <v>364</v>
      </c>
      <c r="O352" t="str">
        <f>UPPER(GERENCIAS[[#This Row],[Gerente de obra]])</f>
        <v>FRANCISCO DI LISIO</v>
      </c>
      <c r="R352" t="s">
        <v>803</v>
      </c>
      <c r="S352" t="s">
        <v>804</v>
      </c>
      <c r="T352" t="s">
        <v>78</v>
      </c>
      <c r="W352" s="8" t="s">
        <v>801</v>
      </c>
      <c r="X352" s="8" t="s">
        <v>802</v>
      </c>
      <c r="Y352" s="8" t="s">
        <v>17</v>
      </c>
      <c r="Z352" t="str">
        <f t="shared" si="5"/>
        <v>00000353SI</v>
      </c>
      <c r="AA352" s="11" t="e">
        <f>MATCH(Tabla9[[#This Row],[AUX]],Loockup_ObrasGerencia[[#All],[aux]],0)</f>
        <v>#N/A</v>
      </c>
    </row>
    <row r="353" spans="1:27" x14ac:dyDescent="0.25">
      <c r="A353" s="30" t="s">
        <v>749</v>
      </c>
      <c r="B353" s="30" t="s">
        <v>748</v>
      </c>
      <c r="C353" s="30" t="s">
        <v>17</v>
      </c>
      <c r="D353" s="30" t="str" cm="1">
        <f t="array" ref="D353">UPPER(_xlfn.XLOOKUP(Loockup_ObrasGerencia[[#This Row],[OBRA_PRONTO]],Tabla7[[#All],[Obra]],Tabla7[[#All],[Gerente de obra]],"Sin Obra Asignada",0))</f>
        <v>FRANCISCO DI LISIO</v>
      </c>
      <c r="E353" s="31" t="str">
        <f>Loockup_ObrasGerencia[[#This Row],[OBRA_PRONTO]]&amp;Loockup_ObrasGerencia[[#This Row],[GERENCIA]]</f>
        <v>00000354FRANCISCO DI LISIO</v>
      </c>
      <c r="H353" t="s">
        <v>769</v>
      </c>
      <c r="I353" t="s">
        <v>770</v>
      </c>
      <c r="J353" t="s">
        <v>79</v>
      </c>
      <c r="K353" t="str">
        <f>Tabla7[[#This Row],[Obra]]&amp;Tabla7[[#This Row],[Gerente de obra]]</f>
        <v>00000366Francisco Di Lisio</v>
      </c>
      <c r="L353">
        <f>MATCH(Tabla7[[#This Row],[AUX]],Loockup_ObrasGerencia[[#All],[aux]],0)</f>
        <v>365</v>
      </c>
      <c r="O353" t="str">
        <f>UPPER(GERENCIAS[[#This Row],[Gerente de obra]])</f>
        <v>BARONE ALBERTO</v>
      </c>
      <c r="R353" t="s">
        <v>805</v>
      </c>
      <c r="S353" t="s">
        <v>806</v>
      </c>
      <c r="T353" t="s">
        <v>132</v>
      </c>
      <c r="W353" s="8" t="s">
        <v>749</v>
      </c>
      <c r="X353" s="8" t="s">
        <v>748</v>
      </c>
      <c r="Y353" s="8" t="s">
        <v>17</v>
      </c>
      <c r="Z353" t="str">
        <f t="shared" si="5"/>
        <v>00000354SI</v>
      </c>
      <c r="AA353" s="11" t="e">
        <f>MATCH(Tabla9[[#This Row],[AUX]],Loockup_ObrasGerencia[[#All],[aux]],0)</f>
        <v>#N/A</v>
      </c>
    </row>
    <row r="354" spans="1:27" x14ac:dyDescent="0.25">
      <c r="A354" s="30" t="s">
        <v>751</v>
      </c>
      <c r="B354" s="30" t="s">
        <v>750</v>
      </c>
      <c r="C354" s="30" t="s">
        <v>17</v>
      </c>
      <c r="D354" s="30" t="str" cm="1">
        <f t="array" ref="D354">UPPER(_xlfn.XLOOKUP(Loockup_ObrasGerencia[[#This Row],[OBRA_PRONTO]],Tabla7[[#All],[Obra]],Tabla7[[#All],[Gerente de obra]],"Sin Obra Asignada",0))</f>
        <v>TRUJILLO</v>
      </c>
      <c r="E354" s="31" t="str">
        <f>Loockup_ObrasGerencia[[#This Row],[OBRA_PRONTO]]&amp;Loockup_ObrasGerencia[[#This Row],[GERENCIA]]</f>
        <v>00000355TRUJILLO</v>
      </c>
      <c r="H354" t="s">
        <v>771</v>
      </c>
      <c r="I354" t="s">
        <v>772</v>
      </c>
      <c r="J354" t="s">
        <v>79</v>
      </c>
      <c r="K354" t="str">
        <f>Tabla7[[#This Row],[Obra]]&amp;Tabla7[[#This Row],[Gerente de obra]]</f>
        <v>00000367Francisco Di Lisio</v>
      </c>
      <c r="L354">
        <f>MATCH(Tabla7[[#This Row],[AUX]],Loockup_ObrasGerencia[[#All],[aux]],0)</f>
        <v>366</v>
      </c>
      <c r="O354" t="str">
        <f>UPPER(GERENCIAS[[#This Row],[Gerente de obra]])</f>
        <v>FRANCISCO DI LISIO</v>
      </c>
      <c r="R354" t="s">
        <v>807</v>
      </c>
      <c r="S354" t="s">
        <v>808</v>
      </c>
      <c r="T354" t="s">
        <v>78</v>
      </c>
      <c r="W354" s="8" t="s">
        <v>751</v>
      </c>
      <c r="X354" s="8" t="s">
        <v>750</v>
      </c>
      <c r="Y354" s="8" t="s">
        <v>17</v>
      </c>
      <c r="Z354" t="str">
        <f t="shared" si="5"/>
        <v>00000355SI</v>
      </c>
      <c r="AA354" s="11" t="e">
        <f>MATCH(Tabla9[[#This Row],[AUX]],Loockup_ObrasGerencia[[#All],[aux]],0)</f>
        <v>#N/A</v>
      </c>
    </row>
    <row r="355" spans="1:27" x14ac:dyDescent="0.25">
      <c r="A355" s="30" t="s">
        <v>809</v>
      </c>
      <c r="B355" s="30" t="s">
        <v>810</v>
      </c>
      <c r="C355" s="30" t="s">
        <v>17</v>
      </c>
      <c r="D355" s="30" t="str" cm="1">
        <f t="array" ref="D355">UPPER(_xlfn.XLOOKUP(Loockup_ObrasGerencia[[#This Row],[OBRA_PRONTO]],Tabla7[[#All],[Obra]],Tabla7[[#All],[Gerente de obra]],"Sin Obra Asignada",0))</f>
        <v>SIN OBRA ASIGNADA</v>
      </c>
      <c r="E355" s="31" t="str">
        <f>Loockup_ObrasGerencia[[#This Row],[OBRA_PRONTO]]&amp;Loockup_ObrasGerencia[[#This Row],[GERENCIA]]</f>
        <v>00000356SIN OBRA ASIGNADA</v>
      </c>
      <c r="H355" t="s">
        <v>773</v>
      </c>
      <c r="I355" t="s">
        <v>774</v>
      </c>
      <c r="J355" t="s">
        <v>79</v>
      </c>
      <c r="K355" t="str">
        <f>Tabla7[[#This Row],[Obra]]&amp;Tabla7[[#This Row],[Gerente de obra]]</f>
        <v>00000368Francisco Di Lisio</v>
      </c>
      <c r="L355">
        <f>MATCH(Tabla7[[#This Row],[AUX]],Loockup_ObrasGerencia[[#All],[aux]],0)</f>
        <v>367</v>
      </c>
      <c r="O355" t="str">
        <f>UPPER(GERENCIAS[[#This Row],[Gerente de obra]])</f>
        <v>CATRIEL GISELA</v>
      </c>
      <c r="R355" t="s">
        <v>811</v>
      </c>
      <c r="S355" t="s">
        <v>812</v>
      </c>
      <c r="T355" t="s">
        <v>243</v>
      </c>
      <c r="W355" s="8" t="s">
        <v>809</v>
      </c>
      <c r="X355" s="8" t="s">
        <v>810</v>
      </c>
      <c r="Y355" s="8" t="s">
        <v>17</v>
      </c>
      <c r="Z355" t="str">
        <f t="shared" si="5"/>
        <v>00000356SI</v>
      </c>
      <c r="AA355" s="11" t="e">
        <f>MATCH(Tabla9[[#This Row],[AUX]],Loockup_ObrasGerencia[[#All],[aux]],0)</f>
        <v>#N/A</v>
      </c>
    </row>
    <row r="356" spans="1:27" x14ac:dyDescent="0.25">
      <c r="A356" s="30" t="s">
        <v>753</v>
      </c>
      <c r="B356" s="30" t="s">
        <v>752</v>
      </c>
      <c r="C356" s="30" t="s">
        <v>813</v>
      </c>
      <c r="D356" s="30" t="str" cm="1">
        <f t="array" ref="D356">UPPER(_xlfn.XLOOKUP(Loockup_ObrasGerencia[[#This Row],[OBRA_PRONTO]],Tabla7[[#All],[Obra]],Tabla7[[#All],[Gerente de obra]],"Sin Obra Asignada",0))</f>
        <v>FRANCISCO DI LISIO</v>
      </c>
      <c r="E356" s="31" t="str">
        <f>Loockup_ObrasGerencia[[#This Row],[OBRA_PRONTO]]&amp;Loockup_ObrasGerencia[[#This Row],[GERENCIA]]</f>
        <v>00000357FRANCISCO DI LISIO</v>
      </c>
      <c r="H356" t="s">
        <v>775</v>
      </c>
      <c r="I356" t="s">
        <v>776</v>
      </c>
      <c r="J356" t="s">
        <v>79</v>
      </c>
      <c r="K356" t="str">
        <f>Tabla7[[#This Row],[Obra]]&amp;Tabla7[[#This Row],[Gerente de obra]]</f>
        <v>00000369Francisco Di Lisio</v>
      </c>
      <c r="L356">
        <f>MATCH(Tabla7[[#This Row],[AUX]],Loockup_ObrasGerencia[[#All],[aux]],0)</f>
        <v>368</v>
      </c>
      <c r="O356" t="str">
        <f>UPPER(GERENCIAS[[#This Row],[Gerente de obra]])</f>
        <v>TRUJILLO</v>
      </c>
      <c r="R356" t="s">
        <v>814</v>
      </c>
      <c r="S356" t="s">
        <v>815</v>
      </c>
      <c r="T356" t="s">
        <v>25</v>
      </c>
      <c r="W356" s="8" t="s">
        <v>753</v>
      </c>
      <c r="X356" s="8" t="s">
        <v>752</v>
      </c>
      <c r="Y356" s="8" t="s">
        <v>813</v>
      </c>
      <c r="Z356" t="str">
        <f t="shared" si="5"/>
        <v>00000357COMPENSABLE QUINCENA</v>
      </c>
      <c r="AA356" s="11" t="e">
        <f>MATCH(Tabla9[[#This Row],[AUX]],Loockup_ObrasGerencia[[#All],[aux]],0)</f>
        <v>#N/A</v>
      </c>
    </row>
    <row r="357" spans="1:27" x14ac:dyDescent="0.25">
      <c r="A357" s="30" t="s">
        <v>755</v>
      </c>
      <c r="B357" s="30" t="s">
        <v>754</v>
      </c>
      <c r="C357" s="30" t="s">
        <v>17</v>
      </c>
      <c r="D357" s="30" t="str" cm="1">
        <f t="array" ref="D357">UPPER(_xlfn.XLOOKUP(Loockup_ObrasGerencia[[#This Row],[OBRA_PRONTO]],Tabla7[[#All],[Obra]],Tabla7[[#All],[Gerente de obra]],"Sin Obra Asignada",0))</f>
        <v>ORTIZ JUAN MANUEL</v>
      </c>
      <c r="E357" s="31" t="str">
        <f>Loockup_ObrasGerencia[[#This Row],[OBRA_PRONTO]]&amp;Loockup_ObrasGerencia[[#This Row],[GERENCIA]]</f>
        <v>00000358ORTIZ JUAN MANUEL</v>
      </c>
      <c r="H357" t="s">
        <v>777</v>
      </c>
      <c r="I357" t="s">
        <v>778</v>
      </c>
      <c r="J357" t="s">
        <v>24</v>
      </c>
      <c r="K357" t="str">
        <f>Tabla7[[#This Row],[Obra]]&amp;Tabla7[[#This Row],[Gerente de obra]]</f>
        <v>00000371Trujillo</v>
      </c>
      <c r="L357">
        <f>MATCH(Tabla7[[#This Row],[AUX]],Loockup_ObrasGerencia[[#All],[aux]],0)</f>
        <v>370</v>
      </c>
      <c r="O357" t="str">
        <f>UPPER(GERENCIAS[[#This Row],[Gerente de obra]])</f>
        <v>TRUJILLO</v>
      </c>
      <c r="R357" t="s">
        <v>816</v>
      </c>
      <c r="S357" t="s">
        <v>817</v>
      </c>
      <c r="T357" t="s">
        <v>25</v>
      </c>
      <c r="W357" s="8" t="s">
        <v>755</v>
      </c>
      <c r="X357" s="8" t="s">
        <v>754</v>
      </c>
      <c r="Y357" s="8" t="s">
        <v>17</v>
      </c>
      <c r="Z357" t="str">
        <f t="shared" si="5"/>
        <v>00000358SI</v>
      </c>
      <c r="AA357" s="11" t="e">
        <f>MATCH(Tabla9[[#This Row],[AUX]],Loockup_ObrasGerencia[[#All],[aux]],0)</f>
        <v>#N/A</v>
      </c>
    </row>
    <row r="358" spans="1:27" x14ac:dyDescent="0.25">
      <c r="A358" s="30" t="s">
        <v>757</v>
      </c>
      <c r="B358" s="30" t="s">
        <v>756</v>
      </c>
      <c r="C358" s="30" t="s">
        <v>17</v>
      </c>
      <c r="D358" s="30" t="str" cm="1">
        <f t="array" ref="D358">UPPER(_xlfn.XLOOKUP(Loockup_ObrasGerencia[[#This Row],[OBRA_PRONTO]],Tabla7[[#All],[Obra]],Tabla7[[#All],[Gerente de obra]],"Sin Obra Asignada",0))</f>
        <v>ORTIZ JUAN MANUEL</v>
      </c>
      <c r="E358" s="31" t="str">
        <f>Loockup_ObrasGerencia[[#This Row],[OBRA_PRONTO]]&amp;Loockup_ObrasGerencia[[#This Row],[GERENCIA]]</f>
        <v>00000359ORTIZ JUAN MANUEL</v>
      </c>
      <c r="H358" t="s">
        <v>779</v>
      </c>
      <c r="I358" t="s">
        <v>780</v>
      </c>
      <c r="J358" t="s">
        <v>240</v>
      </c>
      <c r="K358" t="str">
        <f>Tabla7[[#This Row],[Obra]]&amp;Tabla7[[#This Row],[Gerente de obra]]</f>
        <v>00000372Fanjul Nicolás</v>
      </c>
      <c r="L358">
        <f>MATCH(Tabla7[[#This Row],[AUX]],Loockup_ObrasGerencia[[#All],[aux]],0)</f>
        <v>371</v>
      </c>
      <c r="O358" t="str">
        <f>UPPER(GERENCIAS[[#This Row],[Gerente de obra]])</f>
        <v>DIEGO AGUIRRE</v>
      </c>
      <c r="R358" t="s">
        <v>818</v>
      </c>
      <c r="S358" t="s">
        <v>819</v>
      </c>
      <c r="T358" t="s">
        <v>178</v>
      </c>
      <c r="W358" s="8" t="s">
        <v>757</v>
      </c>
      <c r="X358" s="8" t="s">
        <v>756</v>
      </c>
      <c r="Y358" s="8" t="s">
        <v>17</v>
      </c>
      <c r="Z358" t="str">
        <f t="shared" si="5"/>
        <v>00000359SI</v>
      </c>
      <c r="AA358" s="11" t="e">
        <f>MATCH(Tabla9[[#This Row],[AUX]],Loockup_ObrasGerencia[[#All],[aux]],0)</f>
        <v>#N/A</v>
      </c>
    </row>
    <row r="359" spans="1:27" x14ac:dyDescent="0.25">
      <c r="A359" s="30" t="s">
        <v>759</v>
      </c>
      <c r="B359" s="30" t="s">
        <v>758</v>
      </c>
      <c r="C359" s="30" t="s">
        <v>17</v>
      </c>
      <c r="D359" s="30" t="str" cm="1">
        <f t="array" ref="D359">UPPER(_xlfn.XLOOKUP(Loockup_ObrasGerencia[[#This Row],[OBRA_PRONTO]],Tabla7[[#All],[Obra]],Tabla7[[#All],[Gerente de obra]],"Sin Obra Asignada",0))</f>
        <v>ORTIZ JUAN MANUEL</v>
      </c>
      <c r="E359" s="31" t="str">
        <f>Loockup_ObrasGerencia[[#This Row],[OBRA_PRONTO]]&amp;Loockup_ObrasGerencia[[#This Row],[GERENCIA]]</f>
        <v>00000360ORTIZ JUAN MANUEL</v>
      </c>
      <c r="H359" t="s">
        <v>783</v>
      </c>
      <c r="I359" t="s">
        <v>784</v>
      </c>
      <c r="J359" t="s">
        <v>240</v>
      </c>
      <c r="K359" t="str">
        <f>Tabla7[[#This Row],[Obra]]&amp;Tabla7[[#This Row],[Gerente de obra]]</f>
        <v>00000373Fanjul Nicolás</v>
      </c>
      <c r="L359">
        <f>MATCH(Tabla7[[#This Row],[AUX]],Loockup_ObrasGerencia[[#All],[aux]],0)</f>
        <v>372</v>
      </c>
      <c r="O359" t="str">
        <f>UPPER(GERENCIAS[[#This Row],[Gerente de obra]])</f>
        <v>DIEGO AGUIRRE</v>
      </c>
      <c r="R359" t="s">
        <v>820</v>
      </c>
      <c r="S359" t="s">
        <v>821</v>
      </c>
      <c r="T359" t="s">
        <v>178</v>
      </c>
      <c r="W359" s="8" t="s">
        <v>759</v>
      </c>
      <c r="X359" s="8" t="s">
        <v>758</v>
      </c>
      <c r="Y359" s="8" t="s">
        <v>17</v>
      </c>
      <c r="Z359" t="str">
        <f t="shared" si="5"/>
        <v>00000360SI</v>
      </c>
      <c r="AA359" s="11" t="e">
        <f>MATCH(Tabla9[[#This Row],[AUX]],Loockup_ObrasGerencia[[#All],[aux]],0)</f>
        <v>#N/A</v>
      </c>
    </row>
    <row r="360" spans="1:27" x14ac:dyDescent="0.25">
      <c r="A360" s="30" t="s">
        <v>762</v>
      </c>
      <c r="B360" s="30" t="s">
        <v>761</v>
      </c>
      <c r="C360" s="30" t="s">
        <v>17</v>
      </c>
      <c r="D360" s="30" t="str" cm="1">
        <f t="array" ref="D360">UPPER(_xlfn.XLOOKUP(Loockup_ObrasGerencia[[#This Row],[OBRA_PRONTO]],Tabla7[[#All],[Obra]],Tabla7[[#All],[Gerente de obra]],"Sin Obra Asignada",0))</f>
        <v>ORTIZ JUAN MANUEL</v>
      </c>
      <c r="E360" s="31" t="str">
        <f>Loockup_ObrasGerencia[[#This Row],[OBRA_PRONTO]]&amp;Loockup_ObrasGerencia[[#This Row],[GERENCIA]]</f>
        <v>00000361ORTIZ JUAN MANUEL</v>
      </c>
      <c r="H360" t="s">
        <v>785</v>
      </c>
      <c r="I360" t="s">
        <v>786</v>
      </c>
      <c r="J360" t="s">
        <v>240</v>
      </c>
      <c r="K360" t="str">
        <f>Tabla7[[#This Row],[Obra]]&amp;Tabla7[[#This Row],[Gerente de obra]]</f>
        <v>00000374Fanjul Nicolás</v>
      </c>
      <c r="L360">
        <f>MATCH(Tabla7[[#This Row],[AUX]],Loockup_ObrasGerencia[[#All],[aux]],0)</f>
        <v>373</v>
      </c>
      <c r="O360" t="str">
        <f>UPPER(GERENCIAS[[#This Row],[Gerente de obra]])</f>
        <v>FRANCISCO DI LISIO</v>
      </c>
      <c r="R360" t="s">
        <v>822</v>
      </c>
      <c r="S360" t="s">
        <v>823</v>
      </c>
      <c r="T360" t="s">
        <v>78</v>
      </c>
      <c r="W360" s="8" t="s">
        <v>762</v>
      </c>
      <c r="X360" s="8" t="s">
        <v>761</v>
      </c>
      <c r="Y360" s="8" t="s">
        <v>17</v>
      </c>
      <c r="Z360" t="str">
        <f t="shared" si="5"/>
        <v>00000361SI</v>
      </c>
      <c r="AA360" s="11" t="e">
        <f>MATCH(Tabla9[[#This Row],[AUX]],Loockup_ObrasGerencia[[#All],[aux]],0)</f>
        <v>#N/A</v>
      </c>
    </row>
    <row r="361" spans="1:27" x14ac:dyDescent="0.25">
      <c r="A361" s="30" t="s">
        <v>824</v>
      </c>
      <c r="B361" s="30" t="s">
        <v>825</v>
      </c>
      <c r="C361" s="30" t="s">
        <v>17</v>
      </c>
      <c r="D361" s="30" t="str" cm="1">
        <f t="array" ref="D361">UPPER(_xlfn.XLOOKUP(Loockup_ObrasGerencia[[#This Row],[OBRA_PRONTO]],Tabla7[[#All],[Obra]],Tabla7[[#All],[Gerente de obra]],"Sin Obra Asignada",0))</f>
        <v>SIN OBRA ASIGNADA</v>
      </c>
      <c r="E361" s="31" t="str">
        <f>Loockup_ObrasGerencia[[#This Row],[OBRA_PRONTO]]&amp;Loockup_ObrasGerencia[[#This Row],[GERENCIA]]</f>
        <v>00000362SIN OBRA ASIGNADA</v>
      </c>
      <c r="H361" t="s">
        <v>789</v>
      </c>
      <c r="I361" t="s">
        <v>790</v>
      </c>
      <c r="J361" t="s">
        <v>240</v>
      </c>
      <c r="K361" t="str">
        <f>Tabla7[[#This Row],[Obra]]&amp;Tabla7[[#This Row],[Gerente de obra]]</f>
        <v>00000375Fanjul Nicolás</v>
      </c>
      <c r="L361">
        <f>MATCH(Tabla7[[#This Row],[AUX]],Loockup_ObrasGerencia[[#All],[aux]],0)</f>
        <v>374</v>
      </c>
      <c r="O361" t="str">
        <f>UPPER(GERENCIAS[[#This Row],[Gerente de obra]])</f>
        <v>CATRIEL GISELA</v>
      </c>
      <c r="R361" t="s">
        <v>826</v>
      </c>
      <c r="S361" t="s">
        <v>827</v>
      </c>
      <c r="T361" t="s">
        <v>243</v>
      </c>
      <c r="W361" s="8" t="s">
        <v>824</v>
      </c>
      <c r="X361" s="8" t="s">
        <v>825</v>
      </c>
      <c r="Y361" s="8" t="s">
        <v>17</v>
      </c>
      <c r="Z361" t="str">
        <f t="shared" si="5"/>
        <v>00000362SI</v>
      </c>
      <c r="AA361" s="11" t="e">
        <f>MATCH(Tabla9[[#This Row],[AUX]],Loockup_ObrasGerencia[[#All],[aux]],0)</f>
        <v>#N/A</v>
      </c>
    </row>
    <row r="362" spans="1:27" x14ac:dyDescent="0.25">
      <c r="A362" s="30" t="s">
        <v>764</v>
      </c>
      <c r="B362" s="30" t="s">
        <v>763</v>
      </c>
      <c r="C362" s="30" t="s">
        <v>17</v>
      </c>
      <c r="D362" s="30" t="str" cm="1">
        <f t="array" ref="D362">UPPER(_xlfn.XLOOKUP(Loockup_ObrasGerencia[[#This Row],[OBRA_PRONTO]],Tabla7[[#All],[Obra]],Tabla7[[#All],[Gerente de obra]],"Sin Obra Asignada",0))</f>
        <v>TRUJILLO</v>
      </c>
      <c r="E362" s="31" t="str">
        <f>Loockup_ObrasGerencia[[#This Row],[OBRA_PRONTO]]&amp;Loockup_ObrasGerencia[[#This Row],[GERENCIA]]</f>
        <v>00000363TRUJILLO</v>
      </c>
      <c r="H362" t="s">
        <v>791</v>
      </c>
      <c r="I362" t="s">
        <v>792</v>
      </c>
      <c r="J362" t="s">
        <v>240</v>
      </c>
      <c r="K362" t="str">
        <f>Tabla7[[#This Row],[Obra]]&amp;Tabla7[[#This Row],[Gerente de obra]]</f>
        <v>00000377Fanjul Nicolás</v>
      </c>
      <c r="L362">
        <f>MATCH(Tabla7[[#This Row],[AUX]],Loockup_ObrasGerencia[[#All],[aux]],0)</f>
        <v>376</v>
      </c>
      <c r="O362" t="str">
        <f>UPPER(GERENCIAS[[#This Row],[Gerente de obra]])</f>
        <v>FRANCISCO DI LISIO</v>
      </c>
      <c r="R362" t="s">
        <v>828</v>
      </c>
      <c r="S362" t="s">
        <v>829</v>
      </c>
      <c r="T362" t="s">
        <v>78</v>
      </c>
      <c r="W362" s="8" t="s">
        <v>764</v>
      </c>
      <c r="X362" s="8" t="s">
        <v>763</v>
      </c>
      <c r="Y362" s="8" t="s">
        <v>17</v>
      </c>
      <c r="Z362" t="str">
        <f t="shared" si="5"/>
        <v>00000363SI</v>
      </c>
      <c r="AA362" s="11" t="e">
        <f>MATCH(Tabla9[[#This Row],[AUX]],Loockup_ObrasGerencia[[#All],[aux]],0)</f>
        <v>#N/A</v>
      </c>
    </row>
    <row r="363" spans="1:27" x14ac:dyDescent="0.25">
      <c r="A363" s="30" t="s">
        <v>766</v>
      </c>
      <c r="B363" s="30" t="s">
        <v>765</v>
      </c>
      <c r="C363" s="30" t="s">
        <v>634</v>
      </c>
      <c r="D363" s="30" t="str" cm="1">
        <f t="array" ref="D363">UPPER(_xlfn.XLOOKUP(Loockup_ObrasGerencia[[#This Row],[OBRA_PRONTO]],Tabla7[[#All],[Obra]],Tabla7[[#All],[Gerente de obra]],"Sin Obra Asignada",0))</f>
        <v>FRANCISCO DI LISIO</v>
      </c>
      <c r="E363" s="31" t="str">
        <f>Loockup_ObrasGerencia[[#This Row],[OBRA_PRONTO]]&amp;Loockup_ObrasGerencia[[#This Row],[GERENCIA]]</f>
        <v>00000364FRANCISCO DI LISIO</v>
      </c>
      <c r="H363" t="s">
        <v>793</v>
      </c>
      <c r="I363" t="s">
        <v>794</v>
      </c>
      <c r="J363" t="s">
        <v>271</v>
      </c>
      <c r="K363" t="str">
        <f>Tabla7[[#This Row],[Obra]]&amp;Tabla7[[#This Row],[Gerente de obra]]</f>
        <v>00000378Catriel Gisela</v>
      </c>
      <c r="L363">
        <f>MATCH(Tabla7[[#This Row],[AUX]],Loockup_ObrasGerencia[[#All],[aux]],0)</f>
        <v>377</v>
      </c>
      <c r="O363" t="str">
        <f>UPPER(GERENCIAS[[#This Row],[Gerente de obra]])</f>
        <v>DIEGO AGUIRRE</v>
      </c>
      <c r="R363" t="s">
        <v>830</v>
      </c>
      <c r="S363" t="s">
        <v>831</v>
      </c>
      <c r="T363" t="s">
        <v>178</v>
      </c>
      <c r="W363" s="8" t="s">
        <v>766</v>
      </c>
      <c r="X363" s="8" t="s">
        <v>765</v>
      </c>
      <c r="Y363" s="8" t="s">
        <v>634</v>
      </c>
      <c r="Z363" t="str">
        <f t="shared" si="5"/>
        <v>00000364COMPENSABLE GASTOS DE SEDE</v>
      </c>
      <c r="AA363" s="11" t="e">
        <f>MATCH(Tabla9[[#This Row],[AUX]],Loockup_ObrasGerencia[[#All],[aux]],0)</f>
        <v>#N/A</v>
      </c>
    </row>
    <row r="364" spans="1:27" x14ac:dyDescent="0.25">
      <c r="A364" s="30" t="s">
        <v>768</v>
      </c>
      <c r="B364" s="30" t="s">
        <v>767</v>
      </c>
      <c r="C364" s="30" t="s">
        <v>17</v>
      </c>
      <c r="D364" s="30" t="str" cm="1">
        <f t="array" ref="D364">UPPER(_xlfn.XLOOKUP(Loockup_ObrasGerencia[[#This Row],[OBRA_PRONTO]],Tabla7[[#All],[Obra]],Tabla7[[#All],[Gerente de obra]],"Sin Obra Asignada",0))</f>
        <v>CALDERON JUAN IGNACIO</v>
      </c>
      <c r="E364" s="31" t="str">
        <f>Loockup_ObrasGerencia[[#This Row],[OBRA_PRONTO]]&amp;Loockup_ObrasGerencia[[#This Row],[GERENCIA]]</f>
        <v>00000365CALDERON JUAN IGNACIO</v>
      </c>
      <c r="H364" t="s">
        <v>795</v>
      </c>
      <c r="I364" t="s">
        <v>796</v>
      </c>
      <c r="J364" t="s">
        <v>271</v>
      </c>
      <c r="K364" t="str">
        <f>Tabla7[[#This Row],[Obra]]&amp;Tabla7[[#This Row],[Gerente de obra]]</f>
        <v>00000379Catriel Gisela</v>
      </c>
      <c r="L364">
        <f>MATCH(Tabla7[[#This Row],[AUX]],Loockup_ObrasGerencia[[#All],[aux]],0)</f>
        <v>378</v>
      </c>
      <c r="O364" t="str">
        <f>UPPER(GERENCIAS[[#This Row],[Gerente de obra]])</f>
        <v>DIEGO AGUIRRE</v>
      </c>
      <c r="R364" t="s">
        <v>832</v>
      </c>
      <c r="S364" t="s">
        <v>833</v>
      </c>
      <c r="T364" t="s">
        <v>178</v>
      </c>
      <c r="W364" s="8" t="s">
        <v>768</v>
      </c>
      <c r="X364" s="8" t="s">
        <v>767</v>
      </c>
      <c r="Y364" s="8" t="s">
        <v>17</v>
      </c>
      <c r="Z364" t="str">
        <f t="shared" si="5"/>
        <v>00000365SI</v>
      </c>
      <c r="AA364" s="11" t="e">
        <f>MATCH(Tabla9[[#This Row],[AUX]],Loockup_ObrasGerencia[[#All],[aux]],0)</f>
        <v>#N/A</v>
      </c>
    </row>
    <row r="365" spans="1:27" x14ac:dyDescent="0.25">
      <c r="A365" s="30" t="s">
        <v>770</v>
      </c>
      <c r="B365" s="30" t="s">
        <v>769</v>
      </c>
      <c r="C365" s="30" t="s">
        <v>17</v>
      </c>
      <c r="D365" s="30" t="str" cm="1">
        <f t="array" ref="D365">UPPER(_xlfn.XLOOKUP(Loockup_ObrasGerencia[[#This Row],[OBRA_PRONTO]],Tabla7[[#All],[Obra]],Tabla7[[#All],[Gerente de obra]],"Sin Obra Asignada",0))</f>
        <v>FRANCISCO DI LISIO</v>
      </c>
      <c r="E365" s="31" t="str">
        <f>Loockup_ObrasGerencia[[#This Row],[OBRA_PRONTO]]&amp;Loockup_ObrasGerencia[[#This Row],[GERENCIA]]</f>
        <v>00000366FRANCISCO DI LISIO</v>
      </c>
      <c r="H365" t="s">
        <v>797</v>
      </c>
      <c r="I365" t="s">
        <v>798</v>
      </c>
      <c r="J365" t="s">
        <v>69</v>
      </c>
      <c r="K365" t="str">
        <f>Tabla7[[#This Row],[Obra]]&amp;Tabla7[[#This Row],[Gerente de obra]]</f>
        <v>00000380Metzler Javier</v>
      </c>
      <c r="L365">
        <f>MATCH(Tabla7[[#This Row],[AUX]],Loockup_ObrasGerencia[[#All],[aux]],0)</f>
        <v>379</v>
      </c>
      <c r="O365" t="str">
        <f>UPPER(GERENCIAS[[#This Row],[Gerente de obra]])</f>
        <v>CATRIEL GISELA</v>
      </c>
      <c r="R365" t="s">
        <v>834</v>
      </c>
      <c r="S365" t="s">
        <v>835</v>
      </c>
      <c r="T365" t="s">
        <v>243</v>
      </c>
      <c r="W365" s="8" t="s">
        <v>770</v>
      </c>
      <c r="X365" s="8" t="s">
        <v>769</v>
      </c>
      <c r="Y365" s="8" t="s">
        <v>17</v>
      </c>
      <c r="Z365" t="str">
        <f t="shared" si="5"/>
        <v>00000366SI</v>
      </c>
      <c r="AA365" s="11" t="e">
        <f>MATCH(Tabla9[[#This Row],[AUX]],Loockup_ObrasGerencia[[#All],[aux]],0)</f>
        <v>#N/A</v>
      </c>
    </row>
    <row r="366" spans="1:27" x14ac:dyDescent="0.25">
      <c r="A366" s="30" t="s">
        <v>772</v>
      </c>
      <c r="B366" s="30" t="s">
        <v>771</v>
      </c>
      <c r="C366" s="30" t="s">
        <v>17</v>
      </c>
      <c r="D366" s="30" t="str" cm="1">
        <f t="array" ref="D366">UPPER(_xlfn.XLOOKUP(Loockup_ObrasGerencia[[#This Row],[OBRA_PRONTO]],Tabla7[[#All],[Obra]],Tabla7[[#All],[Gerente de obra]],"Sin Obra Asignada",0))</f>
        <v>FRANCISCO DI LISIO</v>
      </c>
      <c r="E366" s="31" t="str">
        <f>Loockup_ObrasGerencia[[#This Row],[OBRA_PRONTO]]&amp;Loockup_ObrasGerencia[[#This Row],[GERENCIA]]</f>
        <v>00000367FRANCISCO DI LISIO</v>
      </c>
      <c r="H366" t="s">
        <v>799</v>
      </c>
      <c r="I366" t="s">
        <v>800</v>
      </c>
      <c r="J366" t="s">
        <v>79</v>
      </c>
      <c r="K366" t="str">
        <f>Tabla7[[#This Row],[Obra]]&amp;Tabla7[[#This Row],[Gerente de obra]]</f>
        <v>00000381Francisco Di Lisio</v>
      </c>
      <c r="L366">
        <f>MATCH(Tabla7[[#This Row],[AUX]],Loockup_ObrasGerencia[[#All],[aux]],0)</f>
        <v>380</v>
      </c>
      <c r="O366" t="str">
        <f>UPPER(GERENCIAS[[#This Row],[Gerente de obra]])</f>
        <v>CATRIEL GISELA</v>
      </c>
      <c r="R366" t="s">
        <v>836</v>
      </c>
      <c r="S366" t="s">
        <v>837</v>
      </c>
      <c r="T366" t="s">
        <v>243</v>
      </c>
      <c r="W366" s="8" t="s">
        <v>772</v>
      </c>
      <c r="X366" s="8" t="s">
        <v>771</v>
      </c>
      <c r="Y366" s="8" t="s">
        <v>17</v>
      </c>
      <c r="Z366" t="str">
        <f t="shared" si="5"/>
        <v>00000367SI</v>
      </c>
      <c r="AA366" s="11" t="e">
        <f>MATCH(Tabla9[[#This Row],[AUX]],Loockup_ObrasGerencia[[#All],[aux]],0)</f>
        <v>#N/A</v>
      </c>
    </row>
    <row r="367" spans="1:27" x14ac:dyDescent="0.25">
      <c r="A367" s="30" t="s">
        <v>774</v>
      </c>
      <c r="B367" s="30" t="s">
        <v>773</v>
      </c>
      <c r="C367" s="30" t="s">
        <v>634</v>
      </c>
      <c r="D367" s="30" t="str" cm="1">
        <f t="array" ref="D367">UPPER(_xlfn.XLOOKUP(Loockup_ObrasGerencia[[#This Row],[OBRA_PRONTO]],Tabla7[[#All],[Obra]],Tabla7[[#All],[Gerente de obra]],"Sin Obra Asignada",0))</f>
        <v>FRANCISCO DI LISIO</v>
      </c>
      <c r="E367" s="31" t="str">
        <f>Loockup_ObrasGerencia[[#This Row],[OBRA_PRONTO]]&amp;Loockup_ObrasGerencia[[#This Row],[GERENCIA]]</f>
        <v>00000368FRANCISCO DI LISIO</v>
      </c>
      <c r="H367" t="s">
        <v>803</v>
      </c>
      <c r="I367" t="s">
        <v>804</v>
      </c>
      <c r="J367" t="s">
        <v>79</v>
      </c>
      <c r="K367" t="str">
        <f>Tabla7[[#This Row],[Obra]]&amp;Tabla7[[#This Row],[Gerente de obra]]</f>
        <v>00000382Francisco Di Lisio</v>
      </c>
      <c r="L367">
        <f>MATCH(Tabla7[[#This Row],[AUX]],Loockup_ObrasGerencia[[#All],[aux]],0)</f>
        <v>381</v>
      </c>
      <c r="O367" t="str">
        <f>UPPER(GERENCIAS[[#This Row],[Gerente de obra]])</f>
        <v>METZLER JAVIER</v>
      </c>
      <c r="R367" t="s">
        <v>838</v>
      </c>
      <c r="S367" t="s">
        <v>839</v>
      </c>
      <c r="T367" t="s">
        <v>68</v>
      </c>
      <c r="W367" s="8" t="s">
        <v>774</v>
      </c>
      <c r="X367" s="8" t="s">
        <v>773</v>
      </c>
      <c r="Y367" s="8" t="s">
        <v>634</v>
      </c>
      <c r="Z367" t="str">
        <f t="shared" si="5"/>
        <v>00000368COMPENSABLE GASTOS DE SEDE</v>
      </c>
      <c r="AA367" s="11" t="e">
        <f>MATCH(Tabla9[[#This Row],[AUX]],Loockup_ObrasGerencia[[#All],[aux]],0)</f>
        <v>#N/A</v>
      </c>
    </row>
    <row r="368" spans="1:27" x14ac:dyDescent="0.25">
      <c r="A368" s="30" t="s">
        <v>776</v>
      </c>
      <c r="B368" s="30" t="s">
        <v>775</v>
      </c>
      <c r="C368" s="30" t="s">
        <v>634</v>
      </c>
      <c r="D368" s="30" t="str" cm="1">
        <f t="array" ref="D368">UPPER(_xlfn.XLOOKUP(Loockup_ObrasGerencia[[#This Row],[OBRA_PRONTO]],Tabla7[[#All],[Obra]],Tabla7[[#All],[Gerente de obra]],"Sin Obra Asignada",0))</f>
        <v>FRANCISCO DI LISIO</v>
      </c>
      <c r="E368" s="31" t="str">
        <f>Loockup_ObrasGerencia[[#This Row],[OBRA_PRONTO]]&amp;Loockup_ObrasGerencia[[#This Row],[GERENCIA]]</f>
        <v>00000369FRANCISCO DI LISIO</v>
      </c>
      <c r="H368" t="s">
        <v>805</v>
      </c>
      <c r="I368" t="s">
        <v>806</v>
      </c>
      <c r="J368" t="s">
        <v>141</v>
      </c>
      <c r="K368" t="str">
        <f>Tabla7[[#This Row],[Obra]]&amp;Tabla7[[#This Row],[Gerente de obra]]</f>
        <v>00000383Barone Alberto</v>
      </c>
      <c r="L368">
        <f>MATCH(Tabla7[[#This Row],[AUX]],Loockup_ObrasGerencia[[#All],[aux]],0)</f>
        <v>382</v>
      </c>
      <c r="O368" t="str">
        <f>UPPER(GERENCIAS[[#This Row],[Gerente de obra]])</f>
        <v>FRANCISCO DI LISIO</v>
      </c>
      <c r="R368" t="s">
        <v>840</v>
      </c>
      <c r="S368" t="s">
        <v>841</v>
      </c>
      <c r="T368" t="s">
        <v>78</v>
      </c>
      <c r="W368" s="8" t="s">
        <v>776</v>
      </c>
      <c r="X368" s="8" t="s">
        <v>775</v>
      </c>
      <c r="Y368" s="8" t="s">
        <v>634</v>
      </c>
      <c r="Z368" t="str">
        <f t="shared" si="5"/>
        <v>00000369COMPENSABLE GASTOS DE SEDE</v>
      </c>
      <c r="AA368" s="11" t="e">
        <f>MATCH(Tabla9[[#This Row],[AUX]],Loockup_ObrasGerencia[[#All],[aux]],0)</f>
        <v>#N/A</v>
      </c>
    </row>
    <row r="369" spans="1:27" x14ac:dyDescent="0.25">
      <c r="A369" s="30" t="s">
        <v>842</v>
      </c>
      <c r="B369" s="30" t="s">
        <v>843</v>
      </c>
      <c r="C369" s="30" t="s">
        <v>64</v>
      </c>
      <c r="D369" s="30" t="str" cm="1">
        <f t="array" ref="D369">UPPER(_xlfn.XLOOKUP(Loockup_ObrasGerencia[[#This Row],[OBRA_PRONTO]],Tabla7[[#All],[Obra]],Tabla7[[#All],[Gerente de obra]],"Sin Obra Asignada",0))</f>
        <v>SIN OBRA ASIGNADA</v>
      </c>
      <c r="E369" s="31" t="str">
        <f>Loockup_ObrasGerencia[[#This Row],[OBRA_PRONTO]]&amp;Loockup_ObrasGerencia[[#This Row],[GERENCIA]]</f>
        <v>00000370SIN OBRA ASIGNADA</v>
      </c>
      <c r="H369" t="s">
        <v>807</v>
      </c>
      <c r="I369" t="s">
        <v>808</v>
      </c>
      <c r="J369" t="s">
        <v>79</v>
      </c>
      <c r="K369" t="str">
        <f>Tabla7[[#This Row],[Obra]]&amp;Tabla7[[#This Row],[Gerente de obra]]</f>
        <v>00000384Francisco Di Lisio</v>
      </c>
      <c r="L369">
        <f>MATCH(Tabla7[[#This Row],[AUX]],Loockup_ObrasGerencia[[#All],[aux]],0)</f>
        <v>383</v>
      </c>
      <c r="O369" t="str">
        <f>UPPER(GERENCIAS[[#This Row],[Gerente de obra]])</f>
        <v>GONZALO SILVA</v>
      </c>
      <c r="R369" t="s">
        <v>844</v>
      </c>
      <c r="S369" t="s">
        <v>845</v>
      </c>
      <c r="T369" t="s">
        <v>368</v>
      </c>
      <c r="W369" s="8" t="s">
        <v>842</v>
      </c>
      <c r="X369" s="8" t="s">
        <v>843</v>
      </c>
      <c r="Y369" s="8" t="s">
        <v>64</v>
      </c>
      <c r="Z369" t="str">
        <f t="shared" si="5"/>
        <v>00000370ADMINISTRACION</v>
      </c>
      <c r="AA369" s="11" t="e">
        <f>MATCH(Tabla9[[#This Row],[AUX]],Loockup_ObrasGerencia[[#All],[aux]],0)</f>
        <v>#N/A</v>
      </c>
    </row>
    <row r="370" spans="1:27" x14ac:dyDescent="0.25">
      <c r="A370" s="30" t="s">
        <v>778</v>
      </c>
      <c r="B370" s="30" t="s">
        <v>777</v>
      </c>
      <c r="C370" s="30" t="s">
        <v>17</v>
      </c>
      <c r="D370" s="30" t="str" cm="1">
        <f t="array" ref="D370">UPPER(_xlfn.XLOOKUP(Loockup_ObrasGerencia[[#This Row],[OBRA_PRONTO]],Tabla7[[#All],[Obra]],Tabla7[[#All],[Gerente de obra]],"Sin Obra Asignada",0))</f>
        <v>TRUJILLO</v>
      </c>
      <c r="E370" s="31" t="str">
        <f>Loockup_ObrasGerencia[[#This Row],[OBRA_PRONTO]]&amp;Loockup_ObrasGerencia[[#This Row],[GERENCIA]]</f>
        <v>00000371TRUJILLO</v>
      </c>
      <c r="H370" t="s">
        <v>811</v>
      </c>
      <c r="I370" t="s">
        <v>812</v>
      </c>
      <c r="J370" t="s">
        <v>271</v>
      </c>
      <c r="K370" t="str">
        <f>Tabla7[[#This Row],[Obra]]&amp;Tabla7[[#This Row],[Gerente de obra]]</f>
        <v>00000385Catriel Gisela</v>
      </c>
      <c r="L370">
        <f>MATCH(Tabla7[[#This Row],[AUX]],Loockup_ObrasGerencia[[#All],[aux]],0)</f>
        <v>384</v>
      </c>
      <c r="O370" t="str">
        <f>UPPER(GERENCIAS[[#This Row],[Gerente de obra]])</f>
        <v>CATRIEL GISELA</v>
      </c>
      <c r="R370" t="s">
        <v>846</v>
      </c>
      <c r="S370" t="s">
        <v>847</v>
      </c>
      <c r="T370" t="s">
        <v>243</v>
      </c>
      <c r="W370" s="8" t="s">
        <v>778</v>
      </c>
      <c r="X370" s="8" t="s">
        <v>777</v>
      </c>
      <c r="Y370" s="8" t="s">
        <v>17</v>
      </c>
      <c r="Z370" t="str">
        <f t="shared" si="5"/>
        <v>00000371SI</v>
      </c>
      <c r="AA370" s="11" t="e">
        <f>MATCH(Tabla9[[#This Row],[AUX]],Loockup_ObrasGerencia[[#All],[aux]],0)</f>
        <v>#N/A</v>
      </c>
    </row>
    <row r="371" spans="1:27" x14ac:dyDescent="0.25">
      <c r="A371" s="30" t="s">
        <v>780</v>
      </c>
      <c r="B371" s="30" t="s">
        <v>779</v>
      </c>
      <c r="C371" s="30" t="s">
        <v>246</v>
      </c>
      <c r="D371" s="30" t="str" cm="1">
        <f t="array" ref="D371">UPPER(_xlfn.XLOOKUP(Loockup_ObrasGerencia[[#This Row],[OBRA_PRONTO]],Tabla7[[#All],[Obra]],Tabla7[[#All],[Gerente de obra]],"Sin Obra Asignada",0))</f>
        <v>FANJUL NICOLÁS</v>
      </c>
      <c r="E371" s="31" t="str">
        <f>Loockup_ObrasGerencia[[#This Row],[OBRA_PRONTO]]&amp;Loockup_ObrasGerencia[[#This Row],[GERENCIA]]</f>
        <v>00000372FANJUL NICOLÁS</v>
      </c>
      <c r="H371" t="s">
        <v>814</v>
      </c>
      <c r="I371" t="s">
        <v>815</v>
      </c>
      <c r="J371" t="s">
        <v>24</v>
      </c>
      <c r="K371" t="str">
        <f>Tabla7[[#This Row],[Obra]]&amp;Tabla7[[#This Row],[Gerente de obra]]</f>
        <v>00000386Trujillo</v>
      </c>
      <c r="L371">
        <f>MATCH(Tabla7[[#This Row],[AUX]],Loockup_ObrasGerencia[[#All],[aux]],0)</f>
        <v>385</v>
      </c>
      <c r="O371" t="str">
        <f>UPPER(GERENCIAS[[#This Row],[Gerente de obra]])</f>
        <v>CATRIEL GISELA</v>
      </c>
      <c r="R371" t="s">
        <v>848</v>
      </c>
      <c r="S371" t="s">
        <v>849</v>
      </c>
      <c r="T371" t="s">
        <v>243</v>
      </c>
      <c r="W371" s="8" t="s">
        <v>780</v>
      </c>
      <c r="X371" s="8" t="s">
        <v>779</v>
      </c>
      <c r="Y371" s="8" t="s">
        <v>246</v>
      </c>
      <c r="Z371" t="str">
        <f t="shared" si="5"/>
        <v>00000372COMPENSABLE SYGSA</v>
      </c>
      <c r="AA371" s="11" t="e">
        <f>MATCH(Tabla9[[#This Row],[AUX]],Loockup_ObrasGerencia[[#All],[aux]],0)</f>
        <v>#N/A</v>
      </c>
    </row>
    <row r="372" spans="1:27" x14ac:dyDescent="0.25">
      <c r="A372" s="30" t="s">
        <v>784</v>
      </c>
      <c r="B372" s="30" t="s">
        <v>783</v>
      </c>
      <c r="C372" s="30" t="s">
        <v>246</v>
      </c>
      <c r="D372" s="30" t="str" cm="1">
        <f t="array" ref="D372">UPPER(_xlfn.XLOOKUP(Loockup_ObrasGerencia[[#This Row],[OBRA_PRONTO]],Tabla7[[#All],[Obra]],Tabla7[[#All],[Gerente de obra]],"Sin Obra Asignada",0))</f>
        <v>FANJUL NICOLÁS</v>
      </c>
      <c r="E372" s="31" t="str">
        <f>Loockup_ObrasGerencia[[#This Row],[OBRA_PRONTO]]&amp;Loockup_ObrasGerencia[[#This Row],[GERENCIA]]</f>
        <v>00000373FANJUL NICOLÁS</v>
      </c>
      <c r="H372" t="s">
        <v>816</v>
      </c>
      <c r="I372" t="s">
        <v>817</v>
      </c>
      <c r="J372" t="s">
        <v>24</v>
      </c>
      <c r="K372" t="str">
        <f>Tabla7[[#This Row],[Obra]]&amp;Tabla7[[#This Row],[Gerente de obra]]</f>
        <v>00000387Trujillo</v>
      </c>
      <c r="L372">
        <f>MATCH(Tabla7[[#This Row],[AUX]],Loockup_ObrasGerencia[[#All],[aux]],0)</f>
        <v>386</v>
      </c>
      <c r="O372" t="str">
        <f>UPPER(GERENCIAS[[#This Row],[Gerente de obra]])</f>
        <v>GONZALO SILVA</v>
      </c>
      <c r="R372" t="s">
        <v>850</v>
      </c>
      <c r="S372" t="s">
        <v>851</v>
      </c>
      <c r="T372" t="s">
        <v>368</v>
      </c>
      <c r="W372" s="8" t="s">
        <v>784</v>
      </c>
      <c r="X372" s="8" t="s">
        <v>783</v>
      </c>
      <c r="Y372" s="8" t="s">
        <v>246</v>
      </c>
      <c r="Z372" t="str">
        <f t="shared" si="5"/>
        <v>00000373COMPENSABLE SYGSA</v>
      </c>
      <c r="AA372" s="11" t="e">
        <f>MATCH(Tabla9[[#This Row],[AUX]],Loockup_ObrasGerencia[[#All],[aux]],0)</f>
        <v>#N/A</v>
      </c>
    </row>
    <row r="373" spans="1:27" x14ac:dyDescent="0.25">
      <c r="A373" s="30" t="s">
        <v>786</v>
      </c>
      <c r="B373" s="30" t="s">
        <v>785</v>
      </c>
      <c r="C373" s="30" t="s">
        <v>246</v>
      </c>
      <c r="D373" s="30" t="str" cm="1">
        <f t="array" ref="D373">UPPER(_xlfn.XLOOKUP(Loockup_ObrasGerencia[[#This Row],[OBRA_PRONTO]],Tabla7[[#All],[Obra]],Tabla7[[#All],[Gerente de obra]],"Sin Obra Asignada",0))</f>
        <v>FANJUL NICOLÁS</v>
      </c>
      <c r="E373" s="31" t="str">
        <f>Loockup_ObrasGerencia[[#This Row],[OBRA_PRONTO]]&amp;Loockup_ObrasGerencia[[#This Row],[GERENCIA]]</f>
        <v>00000374FANJUL NICOLÁS</v>
      </c>
      <c r="H373" t="s">
        <v>818</v>
      </c>
      <c r="I373" t="s">
        <v>819</v>
      </c>
      <c r="J373" t="s">
        <v>191</v>
      </c>
      <c r="K373" t="str">
        <f>Tabla7[[#This Row],[Obra]]&amp;Tabla7[[#This Row],[Gerente de obra]]</f>
        <v>00000388Diego Aguirre</v>
      </c>
      <c r="L373">
        <f>MATCH(Tabla7[[#This Row],[AUX]],Loockup_ObrasGerencia[[#All],[aux]],0)</f>
        <v>387</v>
      </c>
      <c r="O373" t="str">
        <f>UPPER(GERENCIAS[[#This Row],[Gerente de obra]])</f>
        <v>GONZALO SILVA</v>
      </c>
      <c r="R373" t="s">
        <v>852</v>
      </c>
      <c r="S373" t="s">
        <v>853</v>
      </c>
      <c r="T373" t="s">
        <v>368</v>
      </c>
      <c r="W373" s="8" t="s">
        <v>786</v>
      </c>
      <c r="X373" s="8" t="s">
        <v>785</v>
      </c>
      <c r="Y373" s="8" t="s">
        <v>246</v>
      </c>
      <c r="Z373" t="str">
        <f t="shared" si="5"/>
        <v>00000374COMPENSABLE SYGSA</v>
      </c>
      <c r="AA373" s="11" t="e">
        <f>MATCH(Tabla9[[#This Row],[AUX]],Loockup_ObrasGerencia[[#All],[aux]],0)</f>
        <v>#N/A</v>
      </c>
    </row>
    <row r="374" spans="1:27" x14ac:dyDescent="0.25">
      <c r="A374" s="30" t="s">
        <v>790</v>
      </c>
      <c r="B374" s="30" t="s">
        <v>789</v>
      </c>
      <c r="C374" s="30" t="s">
        <v>246</v>
      </c>
      <c r="D374" s="30" t="str" cm="1">
        <f t="array" ref="D374">UPPER(_xlfn.XLOOKUP(Loockup_ObrasGerencia[[#This Row],[OBRA_PRONTO]],Tabla7[[#All],[Obra]],Tabla7[[#All],[Gerente de obra]],"Sin Obra Asignada",0))</f>
        <v>FANJUL NICOLÁS</v>
      </c>
      <c r="E374" s="31" t="str">
        <f>Loockup_ObrasGerencia[[#This Row],[OBRA_PRONTO]]&amp;Loockup_ObrasGerencia[[#This Row],[GERENCIA]]</f>
        <v>00000375FANJUL NICOLÁS</v>
      </c>
      <c r="H374" t="s">
        <v>820</v>
      </c>
      <c r="I374" t="s">
        <v>821</v>
      </c>
      <c r="J374" t="s">
        <v>191</v>
      </c>
      <c r="K374" t="str">
        <f>Tabla7[[#This Row],[Obra]]&amp;Tabla7[[#This Row],[Gerente de obra]]</f>
        <v>00000389Diego Aguirre</v>
      </c>
      <c r="L374">
        <f>MATCH(Tabla7[[#This Row],[AUX]],Loockup_ObrasGerencia[[#All],[aux]],0)</f>
        <v>388</v>
      </c>
      <c r="O374" t="str">
        <f>UPPER(GERENCIAS[[#This Row],[Gerente de obra]])</f>
        <v>FRANCISCO DI LISIO</v>
      </c>
      <c r="R374" t="s">
        <v>854</v>
      </c>
      <c r="S374" t="s">
        <v>855</v>
      </c>
      <c r="T374" t="s">
        <v>78</v>
      </c>
      <c r="W374" s="8" t="s">
        <v>790</v>
      </c>
      <c r="X374" s="8" t="s">
        <v>789</v>
      </c>
      <c r="Y374" s="8" t="s">
        <v>246</v>
      </c>
      <c r="Z374" t="str">
        <f t="shared" si="5"/>
        <v>00000375COMPENSABLE SYGSA</v>
      </c>
      <c r="AA374" s="11" t="e">
        <f>MATCH(Tabla9[[#This Row],[AUX]],Loockup_ObrasGerencia[[#All],[aux]],0)</f>
        <v>#N/A</v>
      </c>
    </row>
    <row r="375" spans="1:27" x14ac:dyDescent="0.25">
      <c r="A375" s="30" t="s">
        <v>856</v>
      </c>
      <c r="B375" s="30" t="s">
        <v>857</v>
      </c>
      <c r="C375" s="30" t="s">
        <v>246</v>
      </c>
      <c r="D375" s="30" t="str" cm="1">
        <f t="array" ref="D375">UPPER(_xlfn.XLOOKUP(Loockup_ObrasGerencia[[#This Row],[OBRA_PRONTO]],Tabla7[[#All],[Obra]],Tabla7[[#All],[Gerente de obra]],"Sin Obra Asignada",0))</f>
        <v>SIN OBRA ASIGNADA</v>
      </c>
      <c r="E375" s="31" t="str">
        <f>Loockup_ObrasGerencia[[#This Row],[OBRA_PRONTO]]&amp;Loockup_ObrasGerencia[[#This Row],[GERENCIA]]</f>
        <v>00000376SIN OBRA ASIGNADA</v>
      </c>
      <c r="H375" t="s">
        <v>822</v>
      </c>
      <c r="I375" t="s">
        <v>823</v>
      </c>
      <c r="J375" t="s">
        <v>79</v>
      </c>
      <c r="K375" t="str">
        <f>Tabla7[[#This Row],[Obra]]&amp;Tabla7[[#This Row],[Gerente de obra]]</f>
        <v>00000390Francisco Di Lisio</v>
      </c>
      <c r="L375">
        <f>MATCH(Tabla7[[#This Row],[AUX]],Loockup_ObrasGerencia[[#All],[aux]],0)</f>
        <v>389</v>
      </c>
      <c r="O375" t="str">
        <f>UPPER(GERENCIAS[[#This Row],[Gerente de obra]])</f>
        <v>GONZALO SILVA</v>
      </c>
      <c r="R375" t="s">
        <v>858</v>
      </c>
      <c r="S375" t="s">
        <v>859</v>
      </c>
      <c r="T375" t="s">
        <v>368</v>
      </c>
      <c r="W375" s="8" t="s">
        <v>856</v>
      </c>
      <c r="X375" s="8" t="s">
        <v>857</v>
      </c>
      <c r="Y375" s="8" t="s">
        <v>246</v>
      </c>
      <c r="Z375" t="str">
        <f t="shared" si="5"/>
        <v>00000376COMPENSABLE SYGSA</v>
      </c>
      <c r="AA375" s="11" t="e">
        <f>MATCH(Tabla9[[#This Row],[AUX]],Loockup_ObrasGerencia[[#All],[aux]],0)</f>
        <v>#N/A</v>
      </c>
    </row>
    <row r="376" spans="1:27" x14ac:dyDescent="0.25">
      <c r="A376" s="30" t="s">
        <v>792</v>
      </c>
      <c r="B376" s="30" t="s">
        <v>791</v>
      </c>
      <c r="C376" s="30" t="s">
        <v>246</v>
      </c>
      <c r="D376" s="30" t="str" cm="1">
        <f t="array" ref="D376">UPPER(_xlfn.XLOOKUP(Loockup_ObrasGerencia[[#This Row],[OBRA_PRONTO]],Tabla7[[#All],[Obra]],Tabla7[[#All],[Gerente de obra]],"Sin Obra Asignada",0))</f>
        <v>FANJUL NICOLÁS</v>
      </c>
      <c r="E376" s="31" t="str">
        <f>Loockup_ObrasGerencia[[#This Row],[OBRA_PRONTO]]&amp;Loockup_ObrasGerencia[[#This Row],[GERENCIA]]</f>
        <v>00000377FANJUL NICOLÁS</v>
      </c>
      <c r="H376" t="s">
        <v>826</v>
      </c>
      <c r="I376" t="s">
        <v>827</v>
      </c>
      <c r="J376" t="s">
        <v>271</v>
      </c>
      <c r="K376" t="str">
        <f>Tabla7[[#This Row],[Obra]]&amp;Tabla7[[#This Row],[Gerente de obra]]</f>
        <v>00000391Catriel Gisela</v>
      </c>
      <c r="L376">
        <f>MATCH(Tabla7[[#This Row],[AUX]],Loockup_ObrasGerencia[[#All],[aux]],0)</f>
        <v>390</v>
      </c>
      <c r="O376" t="str">
        <f>UPPER(GERENCIAS[[#This Row],[Gerente de obra]])</f>
        <v>GONZALO SILVA</v>
      </c>
      <c r="R376" t="s">
        <v>860</v>
      </c>
      <c r="S376" t="s">
        <v>861</v>
      </c>
      <c r="T376" t="s">
        <v>368</v>
      </c>
      <c r="W376" s="8" t="s">
        <v>792</v>
      </c>
      <c r="X376" s="8" t="s">
        <v>791</v>
      </c>
      <c r="Y376" s="8" t="s">
        <v>246</v>
      </c>
      <c r="Z376" t="str">
        <f t="shared" si="5"/>
        <v>00000377COMPENSABLE SYGSA</v>
      </c>
      <c r="AA376" s="11" t="e">
        <f>MATCH(Tabla9[[#This Row],[AUX]],Loockup_ObrasGerencia[[#All],[aux]],0)</f>
        <v>#N/A</v>
      </c>
    </row>
    <row r="377" spans="1:27" x14ac:dyDescent="0.25">
      <c r="A377" s="30" t="s">
        <v>794</v>
      </c>
      <c r="B377" s="30" t="s">
        <v>793</v>
      </c>
      <c r="C377" s="30" t="s">
        <v>17</v>
      </c>
      <c r="D377" s="30" t="str" cm="1">
        <f t="array" ref="D377">UPPER(_xlfn.XLOOKUP(Loockup_ObrasGerencia[[#This Row],[OBRA_PRONTO]],Tabla7[[#All],[Obra]],Tabla7[[#All],[Gerente de obra]],"Sin Obra Asignada",0))</f>
        <v>CATRIEL GISELA</v>
      </c>
      <c r="E377" s="31" t="str">
        <f>Loockup_ObrasGerencia[[#This Row],[OBRA_PRONTO]]&amp;Loockup_ObrasGerencia[[#This Row],[GERENCIA]]</f>
        <v>00000378CATRIEL GISELA</v>
      </c>
      <c r="H377" t="s">
        <v>828</v>
      </c>
      <c r="I377" t="s">
        <v>829</v>
      </c>
      <c r="J377" t="s">
        <v>79</v>
      </c>
      <c r="K377" t="str">
        <f>Tabla7[[#This Row],[Obra]]&amp;Tabla7[[#This Row],[Gerente de obra]]</f>
        <v>00000392Francisco Di Lisio</v>
      </c>
      <c r="L377">
        <f>MATCH(Tabla7[[#This Row],[AUX]],Loockup_ObrasGerencia[[#All],[aux]],0)</f>
        <v>391</v>
      </c>
      <c r="O377" t="str">
        <f>UPPER(GERENCIAS[[#This Row],[Gerente de obra]])</f>
        <v>CATRIEL GISELA</v>
      </c>
      <c r="R377" t="s">
        <v>862</v>
      </c>
      <c r="S377" t="s">
        <v>863</v>
      </c>
      <c r="T377" t="s">
        <v>243</v>
      </c>
      <c r="W377" s="8" t="s">
        <v>794</v>
      </c>
      <c r="X377" s="8" t="s">
        <v>793</v>
      </c>
      <c r="Y377" s="8" t="s">
        <v>17</v>
      </c>
      <c r="Z377" t="str">
        <f t="shared" si="5"/>
        <v>00000378SI</v>
      </c>
      <c r="AA377" s="11" t="e">
        <f>MATCH(Tabla9[[#This Row],[AUX]],Loockup_ObrasGerencia[[#All],[aux]],0)</f>
        <v>#N/A</v>
      </c>
    </row>
    <row r="378" spans="1:27" x14ac:dyDescent="0.25">
      <c r="A378" s="30" t="s">
        <v>796</v>
      </c>
      <c r="B378" s="30" t="s">
        <v>795</v>
      </c>
      <c r="C378" s="30" t="s">
        <v>17</v>
      </c>
      <c r="D378" s="30" t="str" cm="1">
        <f t="array" ref="D378">UPPER(_xlfn.XLOOKUP(Loockup_ObrasGerencia[[#This Row],[OBRA_PRONTO]],Tabla7[[#All],[Obra]],Tabla7[[#All],[Gerente de obra]],"Sin Obra Asignada",0))</f>
        <v>CATRIEL GISELA</v>
      </c>
      <c r="E378" s="31" t="str">
        <f>Loockup_ObrasGerencia[[#This Row],[OBRA_PRONTO]]&amp;Loockup_ObrasGerencia[[#This Row],[GERENCIA]]</f>
        <v>00000379CATRIEL GISELA</v>
      </c>
      <c r="H378" t="s">
        <v>830</v>
      </c>
      <c r="I378" t="s">
        <v>831</v>
      </c>
      <c r="J378" t="s">
        <v>191</v>
      </c>
      <c r="K378" t="str">
        <f>Tabla7[[#This Row],[Obra]]&amp;Tabla7[[#This Row],[Gerente de obra]]</f>
        <v>00000393Diego Aguirre</v>
      </c>
      <c r="L378">
        <f>MATCH(Tabla7[[#This Row],[AUX]],Loockup_ObrasGerencia[[#All],[aux]],0)</f>
        <v>392</v>
      </c>
      <c r="O378" t="str">
        <f>UPPER(GERENCIAS[[#This Row],[Gerente de obra]])</f>
        <v>CATRIEL GISELA</v>
      </c>
      <c r="R378" t="s">
        <v>864</v>
      </c>
      <c r="S378" t="s">
        <v>865</v>
      </c>
      <c r="T378" t="s">
        <v>243</v>
      </c>
      <c r="W378" s="8" t="s">
        <v>796</v>
      </c>
      <c r="X378" s="8" t="s">
        <v>795</v>
      </c>
      <c r="Y378" s="8" t="s">
        <v>17</v>
      </c>
      <c r="Z378" t="str">
        <f t="shared" si="5"/>
        <v>00000379SI</v>
      </c>
      <c r="AA378" s="11" t="e">
        <f>MATCH(Tabla9[[#This Row],[AUX]],Loockup_ObrasGerencia[[#All],[aux]],0)</f>
        <v>#N/A</v>
      </c>
    </row>
    <row r="379" spans="1:27" x14ac:dyDescent="0.25">
      <c r="A379" s="30" t="s">
        <v>798</v>
      </c>
      <c r="B379" s="30" t="s">
        <v>797</v>
      </c>
      <c r="C379" s="30" t="s">
        <v>239</v>
      </c>
      <c r="D379" s="30" t="str" cm="1">
        <f t="array" ref="D379">UPPER(_xlfn.XLOOKUP(Loockup_ObrasGerencia[[#This Row],[OBRA_PRONTO]],Tabla7[[#All],[Obra]],Tabla7[[#All],[Gerente de obra]],"Sin Obra Asignada",0))</f>
        <v>METZLER JAVIER</v>
      </c>
      <c r="E379" s="31" t="str">
        <f>Loockup_ObrasGerencia[[#This Row],[OBRA_PRONTO]]&amp;Loockup_ObrasGerencia[[#This Row],[GERENCIA]]</f>
        <v>00000380METZLER JAVIER</v>
      </c>
      <c r="H379" t="s">
        <v>832</v>
      </c>
      <c r="I379" t="s">
        <v>833</v>
      </c>
      <c r="J379" t="s">
        <v>191</v>
      </c>
      <c r="K379" t="str">
        <f>Tabla7[[#This Row],[Obra]]&amp;Tabla7[[#This Row],[Gerente de obra]]</f>
        <v>00000394Diego Aguirre</v>
      </c>
      <c r="L379">
        <f>MATCH(Tabla7[[#This Row],[AUX]],Loockup_ObrasGerencia[[#All],[aux]],0)</f>
        <v>393</v>
      </c>
      <c r="O379" t="str">
        <f>UPPER(GERENCIAS[[#This Row],[Gerente de obra]])</f>
        <v>CATRIEL GISELA</v>
      </c>
      <c r="R379" t="s">
        <v>866</v>
      </c>
      <c r="S379" t="s">
        <v>867</v>
      </c>
      <c r="T379" t="s">
        <v>243</v>
      </c>
      <c r="W379" s="8" t="s">
        <v>798</v>
      </c>
      <c r="X379" s="8" t="s">
        <v>797</v>
      </c>
      <c r="Y379" s="8" t="s">
        <v>239</v>
      </c>
      <c r="Z379" t="str">
        <f t="shared" si="5"/>
        <v>00000380COMPENSABLE CAC</v>
      </c>
      <c r="AA379" s="11" t="e">
        <f>MATCH(Tabla9[[#This Row],[AUX]],Loockup_ObrasGerencia[[#All],[aux]],0)</f>
        <v>#N/A</v>
      </c>
    </row>
    <row r="380" spans="1:27" x14ac:dyDescent="0.25">
      <c r="A380" s="30" t="s">
        <v>800</v>
      </c>
      <c r="B380" s="30" t="s">
        <v>799</v>
      </c>
      <c r="C380" s="30" t="s">
        <v>17</v>
      </c>
      <c r="D380" s="30" t="str" cm="1">
        <f t="array" ref="D380">UPPER(_xlfn.XLOOKUP(Loockup_ObrasGerencia[[#This Row],[OBRA_PRONTO]],Tabla7[[#All],[Obra]],Tabla7[[#All],[Gerente de obra]],"Sin Obra Asignada",0))</f>
        <v>FRANCISCO DI LISIO</v>
      </c>
      <c r="E380" s="31" t="str">
        <f>Loockup_ObrasGerencia[[#This Row],[OBRA_PRONTO]]&amp;Loockup_ObrasGerencia[[#This Row],[GERENCIA]]</f>
        <v>00000381FRANCISCO DI LISIO</v>
      </c>
      <c r="H380" t="s">
        <v>834</v>
      </c>
      <c r="I380" t="s">
        <v>835</v>
      </c>
      <c r="J380" t="s">
        <v>271</v>
      </c>
      <c r="K380" t="str">
        <f>Tabla7[[#This Row],[Obra]]&amp;Tabla7[[#This Row],[Gerente de obra]]</f>
        <v>00000395Catriel Gisela</v>
      </c>
      <c r="L380">
        <f>MATCH(Tabla7[[#This Row],[AUX]],Loockup_ObrasGerencia[[#All],[aux]],0)</f>
        <v>394</v>
      </c>
      <c r="O380" t="str">
        <f>UPPER(GERENCIAS[[#This Row],[Gerente de obra]])</f>
        <v>CATRIEL GISELA</v>
      </c>
      <c r="R380" t="s">
        <v>868</v>
      </c>
      <c r="S380" t="s">
        <v>869</v>
      </c>
      <c r="T380" t="s">
        <v>243</v>
      </c>
      <c r="W380" s="8" t="s">
        <v>800</v>
      </c>
      <c r="X380" s="8" t="s">
        <v>799</v>
      </c>
      <c r="Y380" s="8" t="s">
        <v>17</v>
      </c>
      <c r="Z380" t="str">
        <f t="shared" si="5"/>
        <v>00000381SI</v>
      </c>
      <c r="AA380" s="11" t="e">
        <f>MATCH(Tabla9[[#This Row],[AUX]],Loockup_ObrasGerencia[[#All],[aux]],0)</f>
        <v>#N/A</v>
      </c>
    </row>
    <row r="381" spans="1:27" x14ac:dyDescent="0.25">
      <c r="A381" s="30" t="s">
        <v>804</v>
      </c>
      <c r="B381" s="30" t="s">
        <v>803</v>
      </c>
      <c r="C381" s="30" t="s">
        <v>270</v>
      </c>
      <c r="D381" s="30" t="str" cm="1">
        <f t="array" ref="D381">UPPER(_xlfn.XLOOKUP(Loockup_ObrasGerencia[[#This Row],[OBRA_PRONTO]],Tabla7[[#All],[Obra]],Tabla7[[#All],[Gerente de obra]],"Sin Obra Asignada",0))</f>
        <v>FRANCISCO DI LISIO</v>
      </c>
      <c r="E381" s="31" t="str">
        <f>Loockup_ObrasGerencia[[#This Row],[OBRA_PRONTO]]&amp;Loockup_ObrasGerencia[[#This Row],[GERENCIA]]</f>
        <v>00000382FRANCISCO DI LISIO</v>
      </c>
      <c r="H381" t="s">
        <v>836</v>
      </c>
      <c r="I381" t="s">
        <v>837</v>
      </c>
      <c r="J381" t="s">
        <v>271</v>
      </c>
      <c r="K381" t="str">
        <f>Tabla7[[#This Row],[Obra]]&amp;Tabla7[[#This Row],[Gerente de obra]]</f>
        <v>00000396Catriel Gisela</v>
      </c>
      <c r="L381">
        <f>MATCH(Tabla7[[#This Row],[AUX]],Loockup_ObrasGerencia[[#All],[aux]],0)</f>
        <v>395</v>
      </c>
      <c r="O381" t="str">
        <f>UPPER(GERENCIAS[[#This Row],[Gerente de obra]])</f>
        <v>ORTIZ JUAN MANUEL</v>
      </c>
      <c r="R381" t="s">
        <v>870</v>
      </c>
      <c r="S381" t="s">
        <v>871</v>
      </c>
      <c r="T381" t="s">
        <v>19</v>
      </c>
      <c r="W381" s="8" t="s">
        <v>804</v>
      </c>
      <c r="X381" s="8" t="s">
        <v>803</v>
      </c>
      <c r="Y381" s="8" t="s">
        <v>270</v>
      </c>
      <c r="Z381" t="str">
        <f t="shared" si="5"/>
        <v>00000382ACTIVOS</v>
      </c>
      <c r="AA381" s="11" t="e">
        <f>MATCH(Tabla9[[#This Row],[AUX]],Loockup_ObrasGerencia[[#All],[aux]],0)</f>
        <v>#N/A</v>
      </c>
    </row>
    <row r="382" spans="1:27" x14ac:dyDescent="0.25">
      <c r="A382" s="30" t="s">
        <v>806</v>
      </c>
      <c r="B382" s="30" t="s">
        <v>805</v>
      </c>
      <c r="C382" s="30" t="s">
        <v>17</v>
      </c>
      <c r="D382" s="30" t="str" cm="1">
        <f t="array" ref="D382">UPPER(_xlfn.XLOOKUP(Loockup_ObrasGerencia[[#This Row],[OBRA_PRONTO]],Tabla7[[#All],[Obra]],Tabla7[[#All],[Gerente de obra]],"Sin Obra Asignada",0))</f>
        <v>BARONE ALBERTO</v>
      </c>
      <c r="E382" s="31" t="str">
        <f>Loockup_ObrasGerencia[[#This Row],[OBRA_PRONTO]]&amp;Loockup_ObrasGerencia[[#This Row],[GERENCIA]]</f>
        <v>00000383BARONE ALBERTO</v>
      </c>
      <c r="H382" t="s">
        <v>838</v>
      </c>
      <c r="I382" t="s">
        <v>839</v>
      </c>
      <c r="J382" t="s">
        <v>69</v>
      </c>
      <c r="K382" t="str">
        <f>Tabla7[[#This Row],[Obra]]&amp;Tabla7[[#This Row],[Gerente de obra]]</f>
        <v>00000397Metzler Javier</v>
      </c>
      <c r="L382">
        <f>MATCH(Tabla7[[#This Row],[AUX]],Loockup_ObrasGerencia[[#All],[aux]],0)</f>
        <v>396</v>
      </c>
      <c r="O382" t="str">
        <f>UPPER(GERENCIAS[[#This Row],[Gerente de obra]])</f>
        <v>GONZALO SILVA</v>
      </c>
      <c r="R382" t="s">
        <v>872</v>
      </c>
      <c r="S382" t="s">
        <v>873</v>
      </c>
      <c r="T382" t="s">
        <v>368</v>
      </c>
      <c r="W382" s="8" t="s">
        <v>806</v>
      </c>
      <c r="X382" s="8" t="s">
        <v>805</v>
      </c>
      <c r="Y382" s="8" t="s">
        <v>17</v>
      </c>
      <c r="Z382" t="str">
        <f t="shared" si="5"/>
        <v>00000383SI</v>
      </c>
      <c r="AA382" s="11" t="e">
        <f>MATCH(Tabla9[[#This Row],[AUX]],Loockup_ObrasGerencia[[#All],[aux]],0)</f>
        <v>#N/A</v>
      </c>
    </row>
    <row r="383" spans="1:27" x14ac:dyDescent="0.25">
      <c r="A383" s="30" t="s">
        <v>808</v>
      </c>
      <c r="B383" s="30" t="s">
        <v>807</v>
      </c>
      <c r="C383" s="30" t="s">
        <v>267</v>
      </c>
      <c r="D383" s="30" t="str" cm="1">
        <f t="array" ref="D383">UPPER(_xlfn.XLOOKUP(Loockup_ObrasGerencia[[#This Row],[OBRA_PRONTO]],Tabla7[[#All],[Obra]],Tabla7[[#All],[Gerente de obra]],"Sin Obra Asignada",0))</f>
        <v>FRANCISCO DI LISIO</v>
      </c>
      <c r="E383" s="31" t="str">
        <f>Loockup_ObrasGerencia[[#This Row],[OBRA_PRONTO]]&amp;Loockup_ObrasGerencia[[#This Row],[GERENCIA]]</f>
        <v>00000384FRANCISCO DI LISIO</v>
      </c>
      <c r="H383" t="s">
        <v>840</v>
      </c>
      <c r="I383" t="s">
        <v>841</v>
      </c>
      <c r="J383" t="s">
        <v>79</v>
      </c>
      <c r="K383" t="str">
        <f>Tabla7[[#This Row],[Obra]]&amp;Tabla7[[#This Row],[Gerente de obra]]</f>
        <v>00000398Francisco Di Lisio</v>
      </c>
      <c r="L383">
        <f>MATCH(Tabla7[[#This Row],[AUX]],Loockup_ObrasGerencia[[#All],[aux]],0)</f>
        <v>397</v>
      </c>
      <c r="O383" t="str">
        <f>UPPER(GERENCIAS[[#This Row],[Gerente de obra]])</f>
        <v>GONZALO SILVA</v>
      </c>
      <c r="R383" t="s">
        <v>874</v>
      </c>
      <c r="S383" t="s">
        <v>875</v>
      </c>
      <c r="T383" t="s">
        <v>368</v>
      </c>
      <c r="W383" s="8" t="s">
        <v>808</v>
      </c>
      <c r="X383" s="8" t="s">
        <v>807</v>
      </c>
      <c r="Y383" s="8" t="s">
        <v>270</v>
      </c>
      <c r="Z383" t="str">
        <f t="shared" si="5"/>
        <v>00000384ACTIVOS</v>
      </c>
      <c r="AA383" s="11" t="e">
        <f>MATCH(Tabla9[[#This Row],[AUX]],Loockup_ObrasGerencia[[#All],[aux]],0)</f>
        <v>#N/A</v>
      </c>
    </row>
    <row r="384" spans="1:27" x14ac:dyDescent="0.25">
      <c r="A384" s="30" t="s">
        <v>812</v>
      </c>
      <c r="B384" s="30" t="s">
        <v>811</v>
      </c>
      <c r="C384" s="30" t="s">
        <v>17</v>
      </c>
      <c r="D384" s="30" t="str" cm="1">
        <f t="array" ref="D384">UPPER(_xlfn.XLOOKUP(Loockup_ObrasGerencia[[#This Row],[OBRA_PRONTO]],Tabla7[[#All],[Obra]],Tabla7[[#All],[Gerente de obra]],"Sin Obra Asignada",0))</f>
        <v>CATRIEL GISELA</v>
      </c>
      <c r="E384" s="31" t="str">
        <f>Loockup_ObrasGerencia[[#This Row],[OBRA_PRONTO]]&amp;Loockup_ObrasGerencia[[#This Row],[GERENCIA]]</f>
        <v>00000385CATRIEL GISELA</v>
      </c>
      <c r="H384" t="s">
        <v>844</v>
      </c>
      <c r="I384" t="s">
        <v>845</v>
      </c>
      <c r="J384" t="s">
        <v>397</v>
      </c>
      <c r="K384" t="str">
        <f>Tabla7[[#This Row],[Obra]]&amp;Tabla7[[#This Row],[Gerente de obra]]</f>
        <v>00000399Gonzalo Silva</v>
      </c>
      <c r="L384">
        <f>MATCH(Tabla7[[#This Row],[AUX]],Loockup_ObrasGerencia[[#All],[aux]],0)</f>
        <v>398</v>
      </c>
      <c r="O384" t="str">
        <f>UPPER(GERENCIAS[[#This Row],[Gerente de obra]])</f>
        <v>FRANCISCO DI LISIO</v>
      </c>
      <c r="R384" t="s">
        <v>876</v>
      </c>
      <c r="S384" t="s">
        <v>877</v>
      </c>
      <c r="T384" t="s">
        <v>78</v>
      </c>
      <c r="W384" s="8" t="s">
        <v>812</v>
      </c>
      <c r="X384" s="8" t="s">
        <v>811</v>
      </c>
      <c r="Y384" s="8" t="s">
        <v>17</v>
      </c>
      <c r="Z384" t="str">
        <f t="shared" si="5"/>
        <v>00000385SI</v>
      </c>
      <c r="AA384" s="11" t="e">
        <f>MATCH(Tabla9[[#This Row],[AUX]],Loockup_ObrasGerencia[[#All],[aux]],0)</f>
        <v>#N/A</v>
      </c>
    </row>
    <row r="385" spans="1:27" x14ac:dyDescent="0.25">
      <c r="A385" s="30" t="s">
        <v>815</v>
      </c>
      <c r="B385" s="30" t="s">
        <v>814</v>
      </c>
      <c r="C385" s="30" t="s">
        <v>17</v>
      </c>
      <c r="D385" s="30" t="str" cm="1">
        <f t="array" ref="D385">UPPER(_xlfn.XLOOKUP(Loockup_ObrasGerencia[[#This Row],[OBRA_PRONTO]],Tabla7[[#All],[Obra]],Tabla7[[#All],[Gerente de obra]],"Sin Obra Asignada",0))</f>
        <v>TRUJILLO</v>
      </c>
      <c r="E385" s="31" t="str">
        <f>Loockup_ObrasGerencia[[#This Row],[OBRA_PRONTO]]&amp;Loockup_ObrasGerencia[[#This Row],[GERENCIA]]</f>
        <v>00000386TRUJILLO</v>
      </c>
      <c r="H385" t="s">
        <v>846</v>
      </c>
      <c r="I385" t="s">
        <v>847</v>
      </c>
      <c r="J385" t="s">
        <v>271</v>
      </c>
      <c r="K385" t="str">
        <f>Tabla7[[#This Row],[Obra]]&amp;Tabla7[[#This Row],[Gerente de obra]]</f>
        <v>00000400Catriel Gisela</v>
      </c>
      <c r="L385">
        <f>MATCH(Tabla7[[#This Row],[AUX]],Loockup_ObrasGerencia[[#All],[aux]],0)</f>
        <v>399</v>
      </c>
      <c r="O385" t="str">
        <f>UPPER(GERENCIAS[[#This Row],[Gerente de obra]])</f>
        <v>GONZALO SILVA</v>
      </c>
      <c r="R385" t="s">
        <v>878</v>
      </c>
      <c r="S385" t="s">
        <v>879</v>
      </c>
      <c r="T385" t="s">
        <v>368</v>
      </c>
      <c r="W385" s="8" t="s">
        <v>815</v>
      </c>
      <c r="X385" s="8" t="s">
        <v>814</v>
      </c>
      <c r="Y385" s="8" t="s">
        <v>17</v>
      </c>
      <c r="Z385" t="str">
        <f t="shared" si="5"/>
        <v>00000386SI</v>
      </c>
      <c r="AA385" s="11" t="e">
        <f>MATCH(Tabla9[[#This Row],[AUX]],Loockup_ObrasGerencia[[#All],[aux]],0)</f>
        <v>#N/A</v>
      </c>
    </row>
    <row r="386" spans="1:27" x14ac:dyDescent="0.25">
      <c r="A386" s="30" t="s">
        <v>817</v>
      </c>
      <c r="B386" s="30" t="s">
        <v>816</v>
      </c>
      <c r="C386" s="30" t="s">
        <v>17</v>
      </c>
      <c r="D386" s="30" t="str" cm="1">
        <f t="array" ref="D386">UPPER(_xlfn.XLOOKUP(Loockup_ObrasGerencia[[#This Row],[OBRA_PRONTO]],Tabla7[[#All],[Obra]],Tabla7[[#All],[Gerente de obra]],"Sin Obra Asignada",0))</f>
        <v>TRUJILLO</v>
      </c>
      <c r="E386" s="31" t="str">
        <f>Loockup_ObrasGerencia[[#This Row],[OBRA_PRONTO]]&amp;Loockup_ObrasGerencia[[#This Row],[GERENCIA]]</f>
        <v>00000387TRUJILLO</v>
      </c>
      <c r="H386" t="s">
        <v>848</v>
      </c>
      <c r="I386" t="s">
        <v>849</v>
      </c>
      <c r="J386" t="s">
        <v>271</v>
      </c>
      <c r="K386" t="str">
        <f>Tabla7[[#This Row],[Obra]]&amp;Tabla7[[#This Row],[Gerente de obra]]</f>
        <v>00000401Catriel Gisela</v>
      </c>
      <c r="L386">
        <f>MATCH(Tabla7[[#This Row],[AUX]],Loockup_ObrasGerencia[[#All],[aux]],0)</f>
        <v>400</v>
      </c>
      <c r="O386" t="str">
        <f>UPPER(GERENCIAS[[#This Row],[Gerente de obra]])</f>
        <v>ORTIZ JUAN MANUEL</v>
      </c>
      <c r="R386" t="s">
        <v>880</v>
      </c>
      <c r="S386" t="s">
        <v>881</v>
      </c>
      <c r="T386" t="s">
        <v>19</v>
      </c>
      <c r="W386" s="8" t="s">
        <v>817</v>
      </c>
      <c r="X386" s="8" t="s">
        <v>816</v>
      </c>
      <c r="Y386" s="8" t="s">
        <v>17</v>
      </c>
      <c r="Z386" t="str">
        <f t="shared" ref="Z386:Z449" si="6">X386&amp;Y386</f>
        <v>00000387SI</v>
      </c>
      <c r="AA386" s="11" t="e">
        <f>MATCH(Tabla9[[#This Row],[AUX]],Loockup_ObrasGerencia[[#All],[aux]],0)</f>
        <v>#N/A</v>
      </c>
    </row>
    <row r="387" spans="1:27" x14ac:dyDescent="0.25">
      <c r="A387" s="30" t="s">
        <v>819</v>
      </c>
      <c r="B387" s="30" t="s">
        <v>818</v>
      </c>
      <c r="C387" s="30" t="s">
        <v>239</v>
      </c>
      <c r="D387" s="30" t="str" cm="1">
        <f t="array" ref="D387">UPPER(_xlfn.XLOOKUP(Loockup_ObrasGerencia[[#This Row],[OBRA_PRONTO]],Tabla7[[#All],[Obra]],Tabla7[[#All],[Gerente de obra]],"Sin Obra Asignada",0))</f>
        <v>DIEGO AGUIRRE</v>
      </c>
      <c r="E387" s="31" t="str">
        <f>Loockup_ObrasGerencia[[#This Row],[OBRA_PRONTO]]&amp;Loockup_ObrasGerencia[[#This Row],[GERENCIA]]</f>
        <v>00000388DIEGO AGUIRRE</v>
      </c>
      <c r="H387" t="s">
        <v>850</v>
      </c>
      <c r="I387" t="s">
        <v>851</v>
      </c>
      <c r="J387" t="s">
        <v>397</v>
      </c>
      <c r="K387" t="str">
        <f>Tabla7[[#This Row],[Obra]]&amp;Tabla7[[#This Row],[Gerente de obra]]</f>
        <v>00000402Gonzalo Silva</v>
      </c>
      <c r="L387">
        <f>MATCH(Tabla7[[#This Row],[AUX]],Loockup_ObrasGerencia[[#All],[aux]],0)</f>
        <v>401</v>
      </c>
      <c r="O387" t="str">
        <f>UPPER(GERENCIAS[[#This Row],[Gerente de obra]])</f>
        <v>METZLER JAVIER</v>
      </c>
      <c r="R387" t="s">
        <v>882</v>
      </c>
      <c r="S387" t="s">
        <v>883</v>
      </c>
      <c r="T387" t="s">
        <v>68</v>
      </c>
      <c r="W387" s="8" t="s">
        <v>819</v>
      </c>
      <c r="X387" s="8" t="s">
        <v>818</v>
      </c>
      <c r="Y387" s="8" t="s">
        <v>239</v>
      </c>
      <c r="Z387" t="str">
        <f t="shared" si="6"/>
        <v>00000388COMPENSABLE CAC</v>
      </c>
      <c r="AA387" s="11" t="e">
        <f>MATCH(Tabla9[[#This Row],[AUX]],Loockup_ObrasGerencia[[#All],[aux]],0)</f>
        <v>#N/A</v>
      </c>
    </row>
    <row r="388" spans="1:27" x14ac:dyDescent="0.25">
      <c r="A388" s="30" t="s">
        <v>821</v>
      </c>
      <c r="B388" s="30" t="s">
        <v>820</v>
      </c>
      <c r="C388" s="30" t="s">
        <v>239</v>
      </c>
      <c r="D388" s="30" t="str" cm="1">
        <f t="array" ref="D388">UPPER(_xlfn.XLOOKUP(Loockup_ObrasGerencia[[#This Row],[OBRA_PRONTO]],Tabla7[[#All],[Obra]],Tabla7[[#All],[Gerente de obra]],"Sin Obra Asignada",0))</f>
        <v>DIEGO AGUIRRE</v>
      </c>
      <c r="E388" s="31" t="str">
        <f>Loockup_ObrasGerencia[[#This Row],[OBRA_PRONTO]]&amp;Loockup_ObrasGerencia[[#This Row],[GERENCIA]]</f>
        <v>00000389DIEGO AGUIRRE</v>
      </c>
      <c r="H388" t="s">
        <v>852</v>
      </c>
      <c r="I388" t="s">
        <v>853</v>
      </c>
      <c r="J388" t="s">
        <v>397</v>
      </c>
      <c r="K388" t="str">
        <f>Tabla7[[#This Row],[Obra]]&amp;Tabla7[[#This Row],[Gerente de obra]]</f>
        <v>00000403Gonzalo Silva</v>
      </c>
      <c r="L388">
        <f>MATCH(Tabla7[[#This Row],[AUX]],Loockup_ObrasGerencia[[#All],[aux]],0)</f>
        <v>402</v>
      </c>
      <c r="O388" t="str">
        <f>UPPER(GERENCIAS[[#This Row],[Gerente de obra]])</f>
        <v>BARONE ALBERTO</v>
      </c>
      <c r="R388" t="s">
        <v>884</v>
      </c>
      <c r="S388" t="s">
        <v>885</v>
      </c>
      <c r="T388" t="s">
        <v>132</v>
      </c>
      <c r="W388" s="8" t="s">
        <v>821</v>
      </c>
      <c r="X388" s="8" t="s">
        <v>820</v>
      </c>
      <c r="Y388" s="8" t="s">
        <v>239</v>
      </c>
      <c r="Z388" t="str">
        <f t="shared" si="6"/>
        <v>00000389COMPENSABLE CAC</v>
      </c>
      <c r="AA388" s="11" t="e">
        <f>MATCH(Tabla9[[#This Row],[AUX]],Loockup_ObrasGerencia[[#All],[aux]],0)</f>
        <v>#N/A</v>
      </c>
    </row>
    <row r="389" spans="1:27" x14ac:dyDescent="0.25">
      <c r="A389" s="30" t="s">
        <v>823</v>
      </c>
      <c r="B389" s="30" t="s">
        <v>822</v>
      </c>
      <c r="C389" s="30" t="s">
        <v>17</v>
      </c>
      <c r="D389" s="30" t="str" cm="1">
        <f t="array" ref="D389">UPPER(_xlfn.XLOOKUP(Loockup_ObrasGerencia[[#This Row],[OBRA_PRONTO]],Tabla7[[#All],[Obra]],Tabla7[[#All],[Gerente de obra]],"Sin Obra Asignada",0))</f>
        <v>FRANCISCO DI LISIO</v>
      </c>
      <c r="E389" s="31" t="str">
        <f>Loockup_ObrasGerencia[[#This Row],[OBRA_PRONTO]]&amp;Loockup_ObrasGerencia[[#This Row],[GERENCIA]]</f>
        <v>00000390FRANCISCO DI LISIO</v>
      </c>
      <c r="H389" t="s">
        <v>854</v>
      </c>
      <c r="I389" t="s">
        <v>855</v>
      </c>
      <c r="J389" t="s">
        <v>79</v>
      </c>
      <c r="K389" t="str">
        <f>Tabla7[[#This Row],[Obra]]&amp;Tabla7[[#This Row],[Gerente de obra]]</f>
        <v>00000404Francisco Di Lisio</v>
      </c>
      <c r="L389">
        <f>MATCH(Tabla7[[#This Row],[AUX]],Loockup_ObrasGerencia[[#All],[aux]],0)</f>
        <v>403</v>
      </c>
      <c r="O389" t="str">
        <f>UPPER(GERENCIAS[[#This Row],[Gerente de obra]])</f>
        <v>FRANCISCO DI LISIO</v>
      </c>
      <c r="R389" t="s">
        <v>886</v>
      </c>
      <c r="S389" t="s">
        <v>887</v>
      </c>
      <c r="T389" t="s">
        <v>78</v>
      </c>
      <c r="W389" s="8" t="s">
        <v>823</v>
      </c>
      <c r="X389" s="8" t="s">
        <v>822</v>
      </c>
      <c r="Y389" s="8" t="s">
        <v>17</v>
      </c>
      <c r="Z389" t="str">
        <f t="shared" si="6"/>
        <v>00000390SI</v>
      </c>
      <c r="AA389" s="11" t="e">
        <f>MATCH(Tabla9[[#This Row],[AUX]],Loockup_ObrasGerencia[[#All],[aux]],0)</f>
        <v>#N/A</v>
      </c>
    </row>
    <row r="390" spans="1:27" x14ac:dyDescent="0.25">
      <c r="A390" s="30" t="s">
        <v>827</v>
      </c>
      <c r="B390" s="30" t="s">
        <v>826</v>
      </c>
      <c r="C390" s="30" t="s">
        <v>17</v>
      </c>
      <c r="D390" s="30" t="str" cm="1">
        <f t="array" ref="D390">UPPER(_xlfn.XLOOKUP(Loockup_ObrasGerencia[[#This Row],[OBRA_PRONTO]],Tabla7[[#All],[Obra]],Tabla7[[#All],[Gerente de obra]],"Sin Obra Asignada",0))</f>
        <v>CATRIEL GISELA</v>
      </c>
      <c r="E390" s="31" t="str">
        <f>Loockup_ObrasGerencia[[#This Row],[OBRA_PRONTO]]&amp;Loockup_ObrasGerencia[[#This Row],[GERENCIA]]</f>
        <v>00000391CATRIEL GISELA</v>
      </c>
      <c r="H390" t="s">
        <v>858</v>
      </c>
      <c r="I390" t="s">
        <v>859</v>
      </c>
      <c r="J390" t="s">
        <v>397</v>
      </c>
      <c r="K390" t="str">
        <f>Tabla7[[#This Row],[Obra]]&amp;Tabla7[[#This Row],[Gerente de obra]]</f>
        <v>00000405Gonzalo Silva</v>
      </c>
      <c r="L390">
        <f>MATCH(Tabla7[[#This Row],[AUX]],Loockup_ObrasGerencia[[#All],[aux]],0)</f>
        <v>404</v>
      </c>
      <c r="O390" t="str">
        <f>UPPER(GERENCIAS[[#This Row],[Gerente de obra]])</f>
        <v>GONZALO SILVA</v>
      </c>
      <c r="R390" t="s">
        <v>888</v>
      </c>
      <c r="S390" t="s">
        <v>889</v>
      </c>
      <c r="T390" t="s">
        <v>368</v>
      </c>
      <c r="W390" s="8" t="s">
        <v>827</v>
      </c>
      <c r="X390" s="8" t="s">
        <v>826</v>
      </c>
      <c r="Y390" s="8" t="s">
        <v>17</v>
      </c>
      <c r="Z390" t="str">
        <f t="shared" si="6"/>
        <v>00000391SI</v>
      </c>
      <c r="AA390" s="11" t="e">
        <f>MATCH(Tabla9[[#This Row],[AUX]],Loockup_ObrasGerencia[[#All],[aux]],0)</f>
        <v>#N/A</v>
      </c>
    </row>
    <row r="391" spans="1:27" x14ac:dyDescent="0.25">
      <c r="A391" s="30" t="s">
        <v>829</v>
      </c>
      <c r="B391" s="30" t="s">
        <v>828</v>
      </c>
      <c r="C391" s="30" t="s">
        <v>17</v>
      </c>
      <c r="D391" s="30" t="str" cm="1">
        <f t="array" ref="D391">UPPER(_xlfn.XLOOKUP(Loockup_ObrasGerencia[[#This Row],[OBRA_PRONTO]],Tabla7[[#All],[Obra]],Tabla7[[#All],[Gerente de obra]],"Sin Obra Asignada",0))</f>
        <v>FRANCISCO DI LISIO</v>
      </c>
      <c r="E391" s="31" t="str">
        <f>Loockup_ObrasGerencia[[#This Row],[OBRA_PRONTO]]&amp;Loockup_ObrasGerencia[[#This Row],[GERENCIA]]</f>
        <v>00000392FRANCISCO DI LISIO</v>
      </c>
      <c r="H391" t="s">
        <v>860</v>
      </c>
      <c r="I391" t="s">
        <v>861</v>
      </c>
      <c r="J391" t="s">
        <v>397</v>
      </c>
      <c r="K391" t="str">
        <f>Tabla7[[#This Row],[Obra]]&amp;Tabla7[[#This Row],[Gerente de obra]]</f>
        <v>00000406Gonzalo Silva</v>
      </c>
      <c r="L391">
        <f>MATCH(Tabla7[[#This Row],[AUX]],Loockup_ObrasGerencia[[#All],[aux]],0)</f>
        <v>405</v>
      </c>
      <c r="O391" t="str">
        <f>UPPER(GERENCIAS[[#This Row],[Gerente de obra]])</f>
        <v>CALDERON JUAN IGNACIO</v>
      </c>
      <c r="R391" t="s">
        <v>890</v>
      </c>
      <c r="S391" t="s">
        <v>891</v>
      </c>
      <c r="T391" t="s">
        <v>35</v>
      </c>
      <c r="W391" s="8" t="s">
        <v>829</v>
      </c>
      <c r="X391" s="8" t="s">
        <v>828</v>
      </c>
      <c r="Y391" s="8" t="s">
        <v>17</v>
      </c>
      <c r="Z391" t="str">
        <f t="shared" si="6"/>
        <v>00000392SI</v>
      </c>
      <c r="AA391" s="11" t="e">
        <f>MATCH(Tabla9[[#This Row],[AUX]],Loockup_ObrasGerencia[[#All],[aux]],0)</f>
        <v>#N/A</v>
      </c>
    </row>
    <row r="392" spans="1:27" x14ac:dyDescent="0.25">
      <c r="A392" s="30" t="s">
        <v>831</v>
      </c>
      <c r="B392" s="30" t="s">
        <v>830</v>
      </c>
      <c r="C392" s="30" t="s">
        <v>239</v>
      </c>
      <c r="D392" s="30" t="str" cm="1">
        <f t="array" ref="D392">UPPER(_xlfn.XLOOKUP(Loockup_ObrasGerencia[[#This Row],[OBRA_PRONTO]],Tabla7[[#All],[Obra]],Tabla7[[#All],[Gerente de obra]],"Sin Obra Asignada",0))</f>
        <v>DIEGO AGUIRRE</v>
      </c>
      <c r="E392" s="31" t="str">
        <f>Loockup_ObrasGerencia[[#This Row],[OBRA_PRONTO]]&amp;Loockup_ObrasGerencia[[#This Row],[GERENCIA]]</f>
        <v>00000393DIEGO AGUIRRE</v>
      </c>
      <c r="H392" t="s">
        <v>862</v>
      </c>
      <c r="I392" t="s">
        <v>863</v>
      </c>
      <c r="J392" t="s">
        <v>271</v>
      </c>
      <c r="K392" t="str">
        <f>Tabla7[[#This Row],[Obra]]&amp;Tabla7[[#This Row],[Gerente de obra]]</f>
        <v>00000407Catriel Gisela</v>
      </c>
      <c r="L392">
        <f>MATCH(Tabla7[[#This Row],[AUX]],Loockup_ObrasGerencia[[#All],[aux]],0)</f>
        <v>406</v>
      </c>
      <c r="O392" t="str">
        <f>UPPER(GERENCIAS[[#This Row],[Gerente de obra]])</f>
        <v>FRANCISCO DI LISIO</v>
      </c>
      <c r="R392" t="s">
        <v>892</v>
      </c>
      <c r="S392" t="s">
        <v>893</v>
      </c>
      <c r="T392" t="s">
        <v>78</v>
      </c>
      <c r="W392" s="8" t="s">
        <v>831</v>
      </c>
      <c r="X392" s="8" t="s">
        <v>830</v>
      </c>
      <c r="Y392" s="8" t="s">
        <v>239</v>
      </c>
      <c r="Z392" t="str">
        <f t="shared" si="6"/>
        <v>00000393COMPENSABLE CAC</v>
      </c>
      <c r="AA392" s="11" t="e">
        <f>MATCH(Tabla9[[#This Row],[AUX]],Loockup_ObrasGerencia[[#All],[aux]],0)</f>
        <v>#N/A</v>
      </c>
    </row>
    <row r="393" spans="1:27" x14ac:dyDescent="0.25">
      <c r="A393" s="30" t="s">
        <v>833</v>
      </c>
      <c r="B393" s="30" t="s">
        <v>832</v>
      </c>
      <c r="C393" s="30" t="s">
        <v>239</v>
      </c>
      <c r="D393" s="30" t="str" cm="1">
        <f t="array" ref="D393">UPPER(_xlfn.XLOOKUP(Loockup_ObrasGerencia[[#This Row],[OBRA_PRONTO]],Tabla7[[#All],[Obra]],Tabla7[[#All],[Gerente de obra]],"Sin Obra Asignada",0))</f>
        <v>DIEGO AGUIRRE</v>
      </c>
      <c r="E393" s="31" t="str">
        <f>Loockup_ObrasGerencia[[#This Row],[OBRA_PRONTO]]&amp;Loockup_ObrasGerencia[[#This Row],[GERENCIA]]</f>
        <v>00000394DIEGO AGUIRRE</v>
      </c>
      <c r="H393" t="s">
        <v>864</v>
      </c>
      <c r="I393" t="s">
        <v>865</v>
      </c>
      <c r="J393" t="s">
        <v>271</v>
      </c>
      <c r="K393" t="str">
        <f>Tabla7[[#This Row],[Obra]]&amp;Tabla7[[#This Row],[Gerente de obra]]</f>
        <v>00000408Catriel Gisela</v>
      </c>
      <c r="L393">
        <f>MATCH(Tabla7[[#This Row],[AUX]],Loockup_ObrasGerencia[[#All],[aux]],0)</f>
        <v>407</v>
      </c>
      <c r="O393" t="str">
        <f>UPPER(GERENCIAS[[#This Row],[Gerente de obra]])</f>
        <v>FRANCISCO DI LISIO</v>
      </c>
      <c r="R393" t="s">
        <v>894</v>
      </c>
      <c r="S393" t="s">
        <v>895</v>
      </c>
      <c r="T393" t="s">
        <v>78</v>
      </c>
      <c r="W393" s="8" t="s">
        <v>833</v>
      </c>
      <c r="X393" s="8" t="s">
        <v>832</v>
      </c>
      <c r="Y393" s="8" t="s">
        <v>239</v>
      </c>
      <c r="Z393" t="str">
        <f t="shared" si="6"/>
        <v>00000394COMPENSABLE CAC</v>
      </c>
      <c r="AA393" s="11" t="e">
        <f>MATCH(Tabla9[[#This Row],[AUX]],Loockup_ObrasGerencia[[#All],[aux]],0)</f>
        <v>#N/A</v>
      </c>
    </row>
    <row r="394" spans="1:27" x14ac:dyDescent="0.25">
      <c r="A394" s="30" t="s">
        <v>835</v>
      </c>
      <c r="B394" s="30" t="s">
        <v>834</v>
      </c>
      <c r="C394" s="30" t="s">
        <v>17</v>
      </c>
      <c r="D394" s="30" t="str" cm="1">
        <f t="array" ref="D394">UPPER(_xlfn.XLOOKUP(Loockup_ObrasGerencia[[#This Row],[OBRA_PRONTO]],Tabla7[[#All],[Obra]],Tabla7[[#All],[Gerente de obra]],"Sin Obra Asignada",0))</f>
        <v>CATRIEL GISELA</v>
      </c>
      <c r="E394" s="31" t="str">
        <f>Loockup_ObrasGerencia[[#This Row],[OBRA_PRONTO]]&amp;Loockup_ObrasGerencia[[#This Row],[GERENCIA]]</f>
        <v>00000395CATRIEL GISELA</v>
      </c>
      <c r="H394" t="s">
        <v>866</v>
      </c>
      <c r="I394" t="s">
        <v>867</v>
      </c>
      <c r="J394" t="s">
        <v>271</v>
      </c>
      <c r="K394" t="str">
        <f>Tabla7[[#This Row],[Obra]]&amp;Tabla7[[#This Row],[Gerente de obra]]</f>
        <v>00000409Catriel Gisela</v>
      </c>
      <c r="L394">
        <f>MATCH(Tabla7[[#This Row],[AUX]],Loockup_ObrasGerencia[[#All],[aux]],0)</f>
        <v>408</v>
      </c>
      <c r="O394" t="str">
        <f>UPPER(GERENCIAS[[#This Row],[Gerente de obra]])</f>
        <v>GONZALO SILVA</v>
      </c>
      <c r="R394" t="s">
        <v>896</v>
      </c>
      <c r="S394" t="s">
        <v>897</v>
      </c>
      <c r="T394" t="s">
        <v>368</v>
      </c>
      <c r="W394" s="8" t="s">
        <v>835</v>
      </c>
      <c r="X394" s="8" t="s">
        <v>834</v>
      </c>
      <c r="Y394" s="8" t="s">
        <v>17</v>
      </c>
      <c r="Z394" t="str">
        <f t="shared" si="6"/>
        <v>00000395SI</v>
      </c>
      <c r="AA394" s="11" t="e">
        <f>MATCH(Tabla9[[#This Row],[AUX]],Loockup_ObrasGerencia[[#All],[aux]],0)</f>
        <v>#N/A</v>
      </c>
    </row>
    <row r="395" spans="1:27" x14ac:dyDescent="0.25">
      <c r="A395" s="30" t="s">
        <v>837</v>
      </c>
      <c r="B395" s="30" t="s">
        <v>836</v>
      </c>
      <c r="C395" s="30" t="s">
        <v>17</v>
      </c>
      <c r="D395" s="30" t="str" cm="1">
        <f t="array" ref="D395">UPPER(_xlfn.XLOOKUP(Loockup_ObrasGerencia[[#This Row],[OBRA_PRONTO]],Tabla7[[#All],[Obra]],Tabla7[[#All],[Gerente de obra]],"Sin Obra Asignada",0))</f>
        <v>CATRIEL GISELA</v>
      </c>
      <c r="E395" s="31" t="str">
        <f>Loockup_ObrasGerencia[[#This Row],[OBRA_PRONTO]]&amp;Loockup_ObrasGerencia[[#This Row],[GERENCIA]]</f>
        <v>00000396CATRIEL GISELA</v>
      </c>
      <c r="H395" t="s">
        <v>868</v>
      </c>
      <c r="I395" t="s">
        <v>869</v>
      </c>
      <c r="J395" t="s">
        <v>271</v>
      </c>
      <c r="K395" t="str">
        <f>Tabla7[[#This Row],[Obra]]&amp;Tabla7[[#This Row],[Gerente de obra]]</f>
        <v>00000410Catriel Gisela</v>
      </c>
      <c r="L395">
        <f>MATCH(Tabla7[[#This Row],[AUX]],Loockup_ObrasGerencia[[#All],[aux]],0)</f>
        <v>409</v>
      </c>
      <c r="O395" t="str">
        <f>UPPER(GERENCIAS[[#This Row],[Gerente de obra]])</f>
        <v>TRUJILLO</v>
      </c>
      <c r="R395" t="s">
        <v>898</v>
      </c>
      <c r="S395" t="s">
        <v>899</v>
      </c>
      <c r="T395" t="s">
        <v>25</v>
      </c>
      <c r="W395" s="8" t="s">
        <v>837</v>
      </c>
      <c r="X395" s="8" t="s">
        <v>836</v>
      </c>
      <c r="Y395" s="8" t="s">
        <v>17</v>
      </c>
      <c r="Z395" t="str">
        <f t="shared" si="6"/>
        <v>00000396SI</v>
      </c>
      <c r="AA395" s="11" t="e">
        <f>MATCH(Tabla9[[#This Row],[AUX]],Loockup_ObrasGerencia[[#All],[aux]],0)</f>
        <v>#N/A</v>
      </c>
    </row>
    <row r="396" spans="1:27" x14ac:dyDescent="0.25">
      <c r="A396" s="30" t="s">
        <v>839</v>
      </c>
      <c r="B396" s="30" t="s">
        <v>838</v>
      </c>
      <c r="C396" s="30" t="s">
        <v>17</v>
      </c>
      <c r="D396" s="30" t="str" cm="1">
        <f t="array" ref="D396">UPPER(_xlfn.XLOOKUP(Loockup_ObrasGerencia[[#This Row],[OBRA_PRONTO]],Tabla7[[#All],[Obra]],Tabla7[[#All],[Gerente de obra]],"Sin Obra Asignada",0))</f>
        <v>METZLER JAVIER</v>
      </c>
      <c r="E396" s="31" t="str">
        <f>Loockup_ObrasGerencia[[#This Row],[OBRA_PRONTO]]&amp;Loockup_ObrasGerencia[[#This Row],[GERENCIA]]</f>
        <v>00000397METZLER JAVIER</v>
      </c>
      <c r="H396" t="s">
        <v>870</v>
      </c>
      <c r="I396" t="s">
        <v>871</v>
      </c>
      <c r="J396" t="s">
        <v>18</v>
      </c>
      <c r="K396" t="str">
        <f>Tabla7[[#This Row],[Obra]]&amp;Tabla7[[#This Row],[Gerente de obra]]</f>
        <v>00000411Ortiz Juan Manuel</v>
      </c>
      <c r="L396">
        <f>MATCH(Tabla7[[#This Row],[AUX]],Loockup_ObrasGerencia[[#All],[aux]],0)</f>
        <v>410</v>
      </c>
      <c r="O396" t="str">
        <f>UPPER(GERENCIAS[[#This Row],[Gerente de obra]])</f>
        <v>ORTIZ JUAN MANUEL</v>
      </c>
      <c r="R396" t="s">
        <v>900</v>
      </c>
      <c r="S396" t="s">
        <v>901</v>
      </c>
      <c r="T396" t="s">
        <v>19</v>
      </c>
      <c r="W396" s="8" t="s">
        <v>839</v>
      </c>
      <c r="X396" s="8" t="s">
        <v>838</v>
      </c>
      <c r="Y396" s="8" t="s">
        <v>17</v>
      </c>
      <c r="Z396" t="str">
        <f t="shared" si="6"/>
        <v>00000397SI</v>
      </c>
      <c r="AA396" s="11" t="e">
        <f>MATCH(Tabla9[[#This Row],[AUX]],Loockup_ObrasGerencia[[#All],[aux]],0)</f>
        <v>#N/A</v>
      </c>
    </row>
    <row r="397" spans="1:27" x14ac:dyDescent="0.25">
      <c r="A397" s="30" t="s">
        <v>841</v>
      </c>
      <c r="B397" s="30" t="s">
        <v>840</v>
      </c>
      <c r="C397" s="30" t="s">
        <v>634</v>
      </c>
      <c r="D397" s="30" t="str" cm="1">
        <f t="array" ref="D397">UPPER(_xlfn.XLOOKUP(Loockup_ObrasGerencia[[#This Row],[OBRA_PRONTO]],Tabla7[[#All],[Obra]],Tabla7[[#All],[Gerente de obra]],"Sin Obra Asignada",0))</f>
        <v>FRANCISCO DI LISIO</v>
      </c>
      <c r="E397" s="31" t="str">
        <f>Loockup_ObrasGerencia[[#This Row],[OBRA_PRONTO]]&amp;Loockup_ObrasGerencia[[#This Row],[GERENCIA]]</f>
        <v>00000398FRANCISCO DI LISIO</v>
      </c>
      <c r="H397" t="s">
        <v>872</v>
      </c>
      <c r="I397" t="s">
        <v>873</v>
      </c>
      <c r="J397" t="s">
        <v>397</v>
      </c>
      <c r="K397" t="str">
        <f>Tabla7[[#This Row],[Obra]]&amp;Tabla7[[#This Row],[Gerente de obra]]</f>
        <v>00000412Gonzalo Silva</v>
      </c>
      <c r="L397">
        <f>MATCH(Tabla7[[#This Row],[AUX]],Loockup_ObrasGerencia[[#All],[aux]],0)</f>
        <v>411</v>
      </c>
      <c r="O397" t="str">
        <f>UPPER(GERENCIAS[[#This Row],[Gerente de obra]])</f>
        <v>CATRIEL GISELA</v>
      </c>
      <c r="R397" t="s">
        <v>902</v>
      </c>
      <c r="S397" t="s">
        <v>903</v>
      </c>
      <c r="T397" t="s">
        <v>243</v>
      </c>
      <c r="W397" s="8" t="s">
        <v>841</v>
      </c>
      <c r="X397" s="8" t="s">
        <v>840</v>
      </c>
      <c r="Y397" s="8" t="s">
        <v>634</v>
      </c>
      <c r="Z397" t="str">
        <f t="shared" si="6"/>
        <v>00000398COMPENSABLE GASTOS DE SEDE</v>
      </c>
      <c r="AA397" s="11" t="e">
        <f>MATCH(Tabla9[[#This Row],[AUX]],Loockup_ObrasGerencia[[#All],[aux]],0)</f>
        <v>#N/A</v>
      </c>
    </row>
    <row r="398" spans="1:27" x14ac:dyDescent="0.25">
      <c r="A398" s="30" t="s">
        <v>845</v>
      </c>
      <c r="B398" s="30" t="s">
        <v>844</v>
      </c>
      <c r="C398" s="30" t="s">
        <v>17</v>
      </c>
      <c r="D398" s="30" t="str" cm="1">
        <f t="array" ref="D398">UPPER(_xlfn.XLOOKUP(Loockup_ObrasGerencia[[#This Row],[OBRA_PRONTO]],Tabla7[[#All],[Obra]],Tabla7[[#All],[Gerente de obra]],"Sin Obra Asignada",0))</f>
        <v>GONZALO SILVA</v>
      </c>
      <c r="E398" s="31" t="str">
        <f>Loockup_ObrasGerencia[[#This Row],[OBRA_PRONTO]]&amp;Loockup_ObrasGerencia[[#This Row],[GERENCIA]]</f>
        <v>00000399GONZALO SILVA</v>
      </c>
      <c r="H398" t="s">
        <v>874</v>
      </c>
      <c r="I398" t="s">
        <v>875</v>
      </c>
      <c r="J398" t="s">
        <v>397</v>
      </c>
      <c r="K398" t="str">
        <f>Tabla7[[#This Row],[Obra]]&amp;Tabla7[[#This Row],[Gerente de obra]]</f>
        <v>00000413Gonzalo Silva</v>
      </c>
      <c r="L398">
        <f>MATCH(Tabla7[[#This Row],[AUX]],Loockup_ObrasGerencia[[#All],[aux]],0)</f>
        <v>412</v>
      </c>
      <c r="O398" t="str">
        <f>UPPER(GERENCIAS[[#This Row],[Gerente de obra]])</f>
        <v>CATRIEL GISELA</v>
      </c>
      <c r="R398" t="s">
        <v>904</v>
      </c>
      <c r="S398" t="s">
        <v>905</v>
      </c>
      <c r="T398" t="s">
        <v>243</v>
      </c>
      <c r="W398" s="8" t="s">
        <v>845</v>
      </c>
      <c r="X398" s="8" t="s">
        <v>844</v>
      </c>
      <c r="Y398" s="8" t="s">
        <v>17</v>
      </c>
      <c r="Z398" t="str">
        <f t="shared" si="6"/>
        <v>00000399SI</v>
      </c>
      <c r="AA398" s="11" t="e">
        <f>MATCH(Tabla9[[#This Row],[AUX]],Loockup_ObrasGerencia[[#All],[aux]],0)</f>
        <v>#N/A</v>
      </c>
    </row>
    <row r="399" spans="1:27" x14ac:dyDescent="0.25">
      <c r="A399" s="30" t="s">
        <v>847</v>
      </c>
      <c r="B399" s="30" t="s">
        <v>846</v>
      </c>
      <c r="C399" s="30" t="s">
        <v>17</v>
      </c>
      <c r="D399" s="30" t="str" cm="1">
        <f t="array" ref="D399">UPPER(_xlfn.XLOOKUP(Loockup_ObrasGerencia[[#This Row],[OBRA_PRONTO]],Tabla7[[#All],[Obra]],Tabla7[[#All],[Gerente de obra]],"Sin Obra Asignada",0))</f>
        <v>CATRIEL GISELA</v>
      </c>
      <c r="E399" s="31" t="str">
        <f>Loockup_ObrasGerencia[[#This Row],[OBRA_PRONTO]]&amp;Loockup_ObrasGerencia[[#This Row],[GERENCIA]]</f>
        <v>00000400CATRIEL GISELA</v>
      </c>
      <c r="H399" t="s">
        <v>876</v>
      </c>
      <c r="I399" t="s">
        <v>877</v>
      </c>
      <c r="J399" t="s">
        <v>79</v>
      </c>
      <c r="K399" t="str">
        <f>Tabla7[[#This Row],[Obra]]&amp;Tabla7[[#This Row],[Gerente de obra]]</f>
        <v>00000414Francisco Di Lisio</v>
      </c>
      <c r="L399">
        <f>MATCH(Tabla7[[#This Row],[AUX]],Loockup_ObrasGerencia[[#All],[aux]],0)</f>
        <v>413</v>
      </c>
      <c r="O399" t="str">
        <f>UPPER(GERENCIAS[[#This Row],[Gerente de obra]])</f>
        <v>WALTER GALLARDO</v>
      </c>
      <c r="R399" t="s">
        <v>906</v>
      </c>
      <c r="S399" t="s">
        <v>907</v>
      </c>
      <c r="T399" t="s">
        <v>908</v>
      </c>
      <c r="W399" s="8" t="s">
        <v>847</v>
      </c>
      <c r="X399" s="8" t="s">
        <v>846</v>
      </c>
      <c r="Y399" s="8" t="s">
        <v>17</v>
      </c>
      <c r="Z399" t="str">
        <f t="shared" si="6"/>
        <v>00000400SI</v>
      </c>
      <c r="AA399" s="11" t="e">
        <f>MATCH(Tabla9[[#This Row],[AUX]],Loockup_ObrasGerencia[[#All],[aux]],0)</f>
        <v>#N/A</v>
      </c>
    </row>
    <row r="400" spans="1:27" x14ac:dyDescent="0.25">
      <c r="A400" s="30" t="s">
        <v>849</v>
      </c>
      <c r="B400" s="30" t="s">
        <v>848</v>
      </c>
      <c r="C400" s="30" t="s">
        <v>17</v>
      </c>
      <c r="D400" s="30" t="str" cm="1">
        <f t="array" ref="D400">UPPER(_xlfn.XLOOKUP(Loockup_ObrasGerencia[[#This Row],[OBRA_PRONTO]],Tabla7[[#All],[Obra]],Tabla7[[#All],[Gerente de obra]],"Sin Obra Asignada",0))</f>
        <v>CATRIEL GISELA</v>
      </c>
      <c r="E400" s="31" t="str">
        <f>Loockup_ObrasGerencia[[#This Row],[OBRA_PRONTO]]&amp;Loockup_ObrasGerencia[[#This Row],[GERENCIA]]</f>
        <v>00000401CATRIEL GISELA</v>
      </c>
      <c r="H400" t="s">
        <v>878</v>
      </c>
      <c r="I400" t="s">
        <v>879</v>
      </c>
      <c r="J400" t="s">
        <v>397</v>
      </c>
      <c r="K400" t="str">
        <f>Tabla7[[#This Row],[Obra]]&amp;Tabla7[[#This Row],[Gerente de obra]]</f>
        <v>00000415Gonzalo Silva</v>
      </c>
      <c r="L400">
        <f>MATCH(Tabla7[[#This Row],[AUX]],Loockup_ObrasGerencia[[#All],[aux]],0)</f>
        <v>414</v>
      </c>
      <c r="O400" t="str">
        <f>UPPER(GERENCIAS[[#This Row],[Gerente de obra]])</f>
        <v>METZLER JAVIER</v>
      </c>
      <c r="R400" t="s">
        <v>909</v>
      </c>
      <c r="S400" t="s">
        <v>910</v>
      </c>
      <c r="T400" t="s">
        <v>68</v>
      </c>
      <c r="W400" s="8" t="s">
        <v>849</v>
      </c>
      <c r="X400" s="8" t="s">
        <v>848</v>
      </c>
      <c r="Y400" s="8" t="s">
        <v>17</v>
      </c>
      <c r="Z400" t="str">
        <f t="shared" si="6"/>
        <v>00000401SI</v>
      </c>
      <c r="AA400" s="11" t="e">
        <f>MATCH(Tabla9[[#This Row],[AUX]],Loockup_ObrasGerencia[[#All],[aux]],0)</f>
        <v>#N/A</v>
      </c>
    </row>
    <row r="401" spans="1:27" x14ac:dyDescent="0.25">
      <c r="A401" s="30" t="s">
        <v>851</v>
      </c>
      <c r="B401" s="30" t="s">
        <v>850</v>
      </c>
      <c r="C401" s="30" t="s">
        <v>17</v>
      </c>
      <c r="D401" s="30" t="str" cm="1">
        <f t="array" ref="D401">UPPER(_xlfn.XLOOKUP(Loockup_ObrasGerencia[[#This Row],[OBRA_PRONTO]],Tabla7[[#All],[Obra]],Tabla7[[#All],[Gerente de obra]],"Sin Obra Asignada",0))</f>
        <v>GONZALO SILVA</v>
      </c>
      <c r="E401" s="31" t="str">
        <f>Loockup_ObrasGerencia[[#This Row],[OBRA_PRONTO]]&amp;Loockup_ObrasGerencia[[#This Row],[GERENCIA]]</f>
        <v>00000402GONZALO SILVA</v>
      </c>
      <c r="H401" t="s">
        <v>880</v>
      </c>
      <c r="I401" t="s">
        <v>881</v>
      </c>
      <c r="J401" t="s">
        <v>18</v>
      </c>
      <c r="K401" t="str">
        <f>Tabla7[[#This Row],[Obra]]&amp;Tabla7[[#This Row],[Gerente de obra]]</f>
        <v>00000416Ortiz Juan Manuel</v>
      </c>
      <c r="L401">
        <f>MATCH(Tabla7[[#This Row],[AUX]],Loockup_ObrasGerencia[[#All],[aux]],0)</f>
        <v>415</v>
      </c>
      <c r="O401" t="str">
        <f>UPPER(GERENCIAS[[#This Row],[Gerente de obra]])</f>
        <v>CATRIEL GISELA</v>
      </c>
      <c r="R401" t="s">
        <v>911</v>
      </c>
      <c r="S401" t="s">
        <v>912</v>
      </c>
      <c r="T401" t="s">
        <v>243</v>
      </c>
      <c r="W401" s="8" t="s">
        <v>851</v>
      </c>
      <c r="X401" s="8" t="s">
        <v>850</v>
      </c>
      <c r="Y401" s="8" t="s">
        <v>17</v>
      </c>
      <c r="Z401" t="str">
        <f t="shared" si="6"/>
        <v>00000402SI</v>
      </c>
      <c r="AA401" s="11" t="e">
        <f>MATCH(Tabla9[[#This Row],[AUX]],Loockup_ObrasGerencia[[#All],[aux]],0)</f>
        <v>#N/A</v>
      </c>
    </row>
    <row r="402" spans="1:27" x14ac:dyDescent="0.25">
      <c r="A402" s="30" t="s">
        <v>853</v>
      </c>
      <c r="B402" s="30" t="s">
        <v>852</v>
      </c>
      <c r="C402" s="30" t="s">
        <v>17</v>
      </c>
      <c r="D402" s="30" t="str" cm="1">
        <f t="array" ref="D402">UPPER(_xlfn.XLOOKUP(Loockup_ObrasGerencia[[#This Row],[OBRA_PRONTO]],Tabla7[[#All],[Obra]],Tabla7[[#All],[Gerente de obra]],"Sin Obra Asignada",0))</f>
        <v>GONZALO SILVA</v>
      </c>
      <c r="E402" s="31" t="str">
        <f>Loockup_ObrasGerencia[[#This Row],[OBRA_PRONTO]]&amp;Loockup_ObrasGerencia[[#This Row],[GERENCIA]]</f>
        <v>00000403GONZALO SILVA</v>
      </c>
      <c r="H402" t="s">
        <v>882</v>
      </c>
      <c r="I402" t="s">
        <v>883</v>
      </c>
      <c r="J402" t="s">
        <v>69</v>
      </c>
      <c r="K402" t="str">
        <f>Tabla7[[#This Row],[Obra]]&amp;Tabla7[[#This Row],[Gerente de obra]]</f>
        <v>00000417Metzler Javier</v>
      </c>
      <c r="L402">
        <f>MATCH(Tabla7[[#This Row],[AUX]],Loockup_ObrasGerencia[[#All],[aux]],0)</f>
        <v>416</v>
      </c>
      <c r="O402" t="str">
        <f>UPPER(GERENCIAS[[#This Row],[Gerente de obra]])</f>
        <v>FRANCISCO NAVARRO</v>
      </c>
      <c r="R402" t="s">
        <v>913</v>
      </c>
      <c r="S402" t="s">
        <v>914</v>
      </c>
      <c r="T402" t="s">
        <v>915</v>
      </c>
      <c r="W402" s="8" t="s">
        <v>853</v>
      </c>
      <c r="X402" s="8" t="s">
        <v>852</v>
      </c>
      <c r="Y402" s="8" t="s">
        <v>17</v>
      </c>
      <c r="Z402" t="str">
        <f t="shared" si="6"/>
        <v>00000403SI</v>
      </c>
      <c r="AA402" s="11" t="e">
        <f>MATCH(Tabla9[[#This Row],[AUX]],Loockup_ObrasGerencia[[#All],[aux]],0)</f>
        <v>#N/A</v>
      </c>
    </row>
    <row r="403" spans="1:27" x14ac:dyDescent="0.25">
      <c r="A403" s="30" t="s">
        <v>855</v>
      </c>
      <c r="B403" s="30" t="s">
        <v>854</v>
      </c>
      <c r="C403" s="30" t="s">
        <v>17</v>
      </c>
      <c r="D403" s="30" t="str" cm="1">
        <f t="array" ref="D403">UPPER(_xlfn.XLOOKUP(Loockup_ObrasGerencia[[#This Row],[OBRA_PRONTO]],Tabla7[[#All],[Obra]],Tabla7[[#All],[Gerente de obra]],"Sin Obra Asignada",0))</f>
        <v>FRANCISCO DI LISIO</v>
      </c>
      <c r="E403" s="31" t="str">
        <f>Loockup_ObrasGerencia[[#This Row],[OBRA_PRONTO]]&amp;Loockup_ObrasGerencia[[#This Row],[GERENCIA]]</f>
        <v>00000404FRANCISCO DI LISIO</v>
      </c>
      <c r="H403" t="s">
        <v>884</v>
      </c>
      <c r="I403" t="s">
        <v>885</v>
      </c>
      <c r="J403" t="s">
        <v>141</v>
      </c>
      <c r="K403" t="str">
        <f>Tabla7[[#This Row],[Obra]]&amp;Tabla7[[#This Row],[Gerente de obra]]</f>
        <v>00000418Barone Alberto</v>
      </c>
      <c r="L403">
        <f>MATCH(Tabla7[[#This Row],[AUX]],Loockup_ObrasGerencia[[#All],[aux]],0)</f>
        <v>417</v>
      </c>
      <c r="O403" t="str">
        <f>UPPER(GERENCIAS[[#This Row],[Gerente de obra]])</f>
        <v>ORTIZ JUAN MANUEL</v>
      </c>
      <c r="R403" t="s">
        <v>916</v>
      </c>
      <c r="S403" t="s">
        <v>917</v>
      </c>
      <c r="T403" t="s">
        <v>19</v>
      </c>
      <c r="W403" s="8" t="s">
        <v>855</v>
      </c>
      <c r="X403" s="8" t="s">
        <v>854</v>
      </c>
      <c r="Y403" s="8" t="s">
        <v>17</v>
      </c>
      <c r="Z403" t="str">
        <f t="shared" si="6"/>
        <v>00000404SI</v>
      </c>
      <c r="AA403" s="11" t="e">
        <f>MATCH(Tabla9[[#This Row],[AUX]],Loockup_ObrasGerencia[[#All],[aux]],0)</f>
        <v>#N/A</v>
      </c>
    </row>
    <row r="404" spans="1:27" x14ac:dyDescent="0.25">
      <c r="A404" s="30" t="s">
        <v>859</v>
      </c>
      <c r="B404" s="30" t="s">
        <v>858</v>
      </c>
      <c r="C404" s="30" t="s">
        <v>17</v>
      </c>
      <c r="D404" s="30" t="str" cm="1">
        <f t="array" ref="D404">UPPER(_xlfn.XLOOKUP(Loockup_ObrasGerencia[[#This Row],[OBRA_PRONTO]],Tabla7[[#All],[Obra]],Tabla7[[#All],[Gerente de obra]],"Sin Obra Asignada",0))</f>
        <v>GONZALO SILVA</v>
      </c>
      <c r="E404" s="31" t="str">
        <f>Loockup_ObrasGerencia[[#This Row],[OBRA_PRONTO]]&amp;Loockup_ObrasGerencia[[#This Row],[GERENCIA]]</f>
        <v>00000405GONZALO SILVA</v>
      </c>
      <c r="H404" t="s">
        <v>886</v>
      </c>
      <c r="I404" t="s">
        <v>887</v>
      </c>
      <c r="J404" t="s">
        <v>79</v>
      </c>
      <c r="K404" t="str">
        <f>Tabla7[[#This Row],[Obra]]&amp;Tabla7[[#This Row],[Gerente de obra]]</f>
        <v>00000419Francisco Di Lisio</v>
      </c>
      <c r="L404">
        <f>MATCH(Tabla7[[#This Row],[AUX]],Loockup_ObrasGerencia[[#All],[aux]],0)</f>
        <v>418</v>
      </c>
      <c r="O404" t="str">
        <f>UPPER(GERENCIAS[[#This Row],[Gerente de obra]])</f>
        <v>GONZALO SILVA</v>
      </c>
      <c r="R404" t="s">
        <v>918</v>
      </c>
      <c r="S404" t="s">
        <v>919</v>
      </c>
      <c r="T404" t="s">
        <v>368</v>
      </c>
      <c r="W404" s="8" t="s">
        <v>859</v>
      </c>
      <c r="X404" s="8" t="s">
        <v>858</v>
      </c>
      <c r="Y404" s="8" t="s">
        <v>17</v>
      </c>
      <c r="Z404" t="str">
        <f t="shared" si="6"/>
        <v>00000405SI</v>
      </c>
      <c r="AA404" s="11" t="e">
        <f>MATCH(Tabla9[[#This Row],[AUX]],Loockup_ObrasGerencia[[#All],[aux]],0)</f>
        <v>#N/A</v>
      </c>
    </row>
    <row r="405" spans="1:27" x14ac:dyDescent="0.25">
      <c r="A405" s="30" t="s">
        <v>861</v>
      </c>
      <c r="B405" s="30" t="s">
        <v>860</v>
      </c>
      <c r="C405" s="30" t="s">
        <v>17</v>
      </c>
      <c r="D405" s="30" t="str" cm="1">
        <f t="array" ref="D405">UPPER(_xlfn.XLOOKUP(Loockup_ObrasGerencia[[#This Row],[OBRA_PRONTO]],Tabla7[[#All],[Obra]],Tabla7[[#All],[Gerente de obra]],"Sin Obra Asignada",0))</f>
        <v>GONZALO SILVA</v>
      </c>
      <c r="E405" s="31" t="str">
        <f>Loockup_ObrasGerencia[[#This Row],[OBRA_PRONTO]]&amp;Loockup_ObrasGerencia[[#This Row],[GERENCIA]]</f>
        <v>00000406GONZALO SILVA</v>
      </c>
      <c r="H405" t="s">
        <v>888</v>
      </c>
      <c r="I405" t="s">
        <v>889</v>
      </c>
      <c r="J405" t="s">
        <v>397</v>
      </c>
      <c r="K405" t="str">
        <f>Tabla7[[#This Row],[Obra]]&amp;Tabla7[[#This Row],[Gerente de obra]]</f>
        <v>00000420Gonzalo Silva</v>
      </c>
      <c r="L405">
        <f>MATCH(Tabla7[[#This Row],[AUX]],Loockup_ObrasGerencia[[#All],[aux]],0)</f>
        <v>419</v>
      </c>
      <c r="O405" t="str">
        <f>UPPER(GERENCIAS[[#This Row],[Gerente de obra]])</f>
        <v>TRUJILLO</v>
      </c>
      <c r="R405" t="s">
        <v>920</v>
      </c>
      <c r="S405" t="s">
        <v>921</v>
      </c>
      <c r="T405" t="s">
        <v>25</v>
      </c>
      <c r="W405" s="8" t="s">
        <v>861</v>
      </c>
      <c r="X405" s="8" t="s">
        <v>860</v>
      </c>
      <c r="Y405" s="8" t="s">
        <v>17</v>
      </c>
      <c r="Z405" t="str">
        <f t="shared" si="6"/>
        <v>00000406SI</v>
      </c>
      <c r="AA405" s="11" t="e">
        <f>MATCH(Tabla9[[#This Row],[AUX]],Loockup_ObrasGerencia[[#All],[aux]],0)</f>
        <v>#N/A</v>
      </c>
    </row>
    <row r="406" spans="1:27" x14ac:dyDescent="0.25">
      <c r="A406" s="30" t="s">
        <v>863</v>
      </c>
      <c r="B406" s="30" t="s">
        <v>862</v>
      </c>
      <c r="C406" s="30" t="s">
        <v>17</v>
      </c>
      <c r="D406" s="30" t="str" cm="1">
        <f t="array" ref="D406">UPPER(_xlfn.XLOOKUP(Loockup_ObrasGerencia[[#This Row],[OBRA_PRONTO]],Tabla7[[#All],[Obra]],Tabla7[[#All],[Gerente de obra]],"Sin Obra Asignada",0))</f>
        <v>CATRIEL GISELA</v>
      </c>
      <c r="E406" s="31" t="str">
        <f>Loockup_ObrasGerencia[[#This Row],[OBRA_PRONTO]]&amp;Loockup_ObrasGerencia[[#This Row],[GERENCIA]]</f>
        <v>00000407CATRIEL GISELA</v>
      </c>
      <c r="H406" t="s">
        <v>890</v>
      </c>
      <c r="I406" t="s">
        <v>891</v>
      </c>
      <c r="J406" t="s">
        <v>34</v>
      </c>
      <c r="K406" t="str">
        <f>Tabla7[[#This Row],[Obra]]&amp;Tabla7[[#This Row],[Gerente de obra]]</f>
        <v>00000421Calderon Juan Ignacio</v>
      </c>
      <c r="L406">
        <f>MATCH(Tabla7[[#This Row],[AUX]],Loockup_ObrasGerencia[[#All],[aux]],0)</f>
        <v>420</v>
      </c>
      <c r="O406" t="str">
        <f>UPPER(GERENCIAS[[#This Row],[Gerente de obra]])</f>
        <v>CALDERON JUAN IGNACIO</v>
      </c>
      <c r="R406" t="s">
        <v>922</v>
      </c>
      <c r="S406" t="s">
        <v>891</v>
      </c>
      <c r="T406" t="s">
        <v>35</v>
      </c>
      <c r="W406" s="8" t="s">
        <v>863</v>
      </c>
      <c r="X406" s="8" t="s">
        <v>862</v>
      </c>
      <c r="Y406" s="8" t="s">
        <v>17</v>
      </c>
      <c r="Z406" t="str">
        <f t="shared" si="6"/>
        <v>00000407SI</v>
      </c>
      <c r="AA406" s="11" t="e">
        <f>MATCH(Tabla9[[#This Row],[AUX]],Loockup_ObrasGerencia[[#All],[aux]],0)</f>
        <v>#N/A</v>
      </c>
    </row>
    <row r="407" spans="1:27" x14ac:dyDescent="0.25">
      <c r="A407" s="30" t="s">
        <v>865</v>
      </c>
      <c r="B407" s="30" t="s">
        <v>864</v>
      </c>
      <c r="C407" s="30" t="s">
        <v>17</v>
      </c>
      <c r="D407" s="30" t="str" cm="1">
        <f t="array" ref="D407">UPPER(_xlfn.XLOOKUP(Loockup_ObrasGerencia[[#This Row],[OBRA_PRONTO]],Tabla7[[#All],[Obra]],Tabla7[[#All],[Gerente de obra]],"Sin Obra Asignada",0))</f>
        <v>CATRIEL GISELA</v>
      </c>
      <c r="E407" s="31" t="str">
        <f>Loockup_ObrasGerencia[[#This Row],[OBRA_PRONTO]]&amp;Loockup_ObrasGerencia[[#This Row],[GERENCIA]]</f>
        <v>00000408CATRIEL GISELA</v>
      </c>
      <c r="H407" t="s">
        <v>892</v>
      </c>
      <c r="I407" t="s">
        <v>893</v>
      </c>
      <c r="J407" t="s">
        <v>79</v>
      </c>
      <c r="K407" t="str">
        <f>Tabla7[[#This Row],[Obra]]&amp;Tabla7[[#This Row],[Gerente de obra]]</f>
        <v>00000422Francisco Di Lisio</v>
      </c>
      <c r="L407">
        <f>MATCH(Tabla7[[#This Row],[AUX]],Loockup_ObrasGerencia[[#All],[aux]],0)</f>
        <v>421</v>
      </c>
      <c r="O407" t="str">
        <f>UPPER(GERENCIAS[[#This Row],[Gerente de obra]])</f>
        <v>GONZALO SILVA</v>
      </c>
      <c r="R407" t="s">
        <v>923</v>
      </c>
      <c r="S407" t="s">
        <v>924</v>
      </c>
      <c r="T407" t="s">
        <v>368</v>
      </c>
      <c r="W407" s="8" t="s">
        <v>865</v>
      </c>
      <c r="X407" s="8" t="s">
        <v>864</v>
      </c>
      <c r="Y407" s="8" t="s">
        <v>17</v>
      </c>
      <c r="Z407" t="str">
        <f t="shared" si="6"/>
        <v>00000408SI</v>
      </c>
      <c r="AA407" s="11" t="e">
        <f>MATCH(Tabla9[[#This Row],[AUX]],Loockup_ObrasGerencia[[#All],[aux]],0)</f>
        <v>#N/A</v>
      </c>
    </row>
    <row r="408" spans="1:27" x14ac:dyDescent="0.25">
      <c r="A408" s="30" t="s">
        <v>867</v>
      </c>
      <c r="B408" s="30" t="s">
        <v>866</v>
      </c>
      <c r="C408" s="30" t="s">
        <v>17</v>
      </c>
      <c r="D408" s="30" t="str" cm="1">
        <f t="array" ref="D408">UPPER(_xlfn.XLOOKUP(Loockup_ObrasGerencia[[#This Row],[OBRA_PRONTO]],Tabla7[[#All],[Obra]],Tabla7[[#All],[Gerente de obra]],"Sin Obra Asignada",0))</f>
        <v>CATRIEL GISELA</v>
      </c>
      <c r="E408" s="31" t="str">
        <f>Loockup_ObrasGerencia[[#This Row],[OBRA_PRONTO]]&amp;Loockup_ObrasGerencia[[#This Row],[GERENCIA]]</f>
        <v>00000409CATRIEL GISELA</v>
      </c>
      <c r="H408" t="s">
        <v>894</v>
      </c>
      <c r="I408" t="s">
        <v>895</v>
      </c>
      <c r="J408" t="s">
        <v>79</v>
      </c>
      <c r="K408" t="str">
        <f>Tabla7[[#This Row],[Obra]]&amp;Tabla7[[#This Row],[Gerente de obra]]</f>
        <v>00000423Francisco Di Lisio</v>
      </c>
      <c r="L408">
        <f>MATCH(Tabla7[[#This Row],[AUX]],Loockup_ObrasGerencia[[#All],[aux]],0)</f>
        <v>422</v>
      </c>
      <c r="O408" t="str">
        <f>UPPER(GERENCIAS[[#This Row],[Gerente de obra]])</f>
        <v>BARONE ALBERTO</v>
      </c>
      <c r="R408" t="s">
        <v>925</v>
      </c>
      <c r="S408" t="s">
        <v>926</v>
      </c>
      <c r="T408" t="s">
        <v>132</v>
      </c>
      <c r="W408" s="8" t="s">
        <v>867</v>
      </c>
      <c r="X408" s="8" t="s">
        <v>866</v>
      </c>
      <c r="Y408" s="8" t="s">
        <v>17</v>
      </c>
      <c r="Z408" t="str">
        <f t="shared" si="6"/>
        <v>00000409SI</v>
      </c>
      <c r="AA408" s="11" t="e">
        <f>MATCH(Tabla9[[#This Row],[AUX]],Loockup_ObrasGerencia[[#All],[aux]],0)</f>
        <v>#N/A</v>
      </c>
    </row>
    <row r="409" spans="1:27" x14ac:dyDescent="0.25">
      <c r="A409" s="30" t="s">
        <v>869</v>
      </c>
      <c r="B409" s="30" t="s">
        <v>868</v>
      </c>
      <c r="C409" s="30" t="s">
        <v>17</v>
      </c>
      <c r="D409" s="30" t="str" cm="1">
        <f t="array" ref="D409">UPPER(_xlfn.XLOOKUP(Loockup_ObrasGerencia[[#This Row],[OBRA_PRONTO]],Tabla7[[#All],[Obra]],Tabla7[[#All],[Gerente de obra]],"Sin Obra Asignada",0))</f>
        <v>CATRIEL GISELA</v>
      </c>
      <c r="E409" s="31" t="str">
        <f>Loockup_ObrasGerencia[[#This Row],[OBRA_PRONTO]]&amp;Loockup_ObrasGerencia[[#This Row],[GERENCIA]]</f>
        <v>00000410CATRIEL GISELA</v>
      </c>
      <c r="H409" t="s">
        <v>896</v>
      </c>
      <c r="I409" t="s">
        <v>897</v>
      </c>
      <c r="J409" t="s">
        <v>397</v>
      </c>
      <c r="K409" t="str">
        <f>Tabla7[[#This Row],[Obra]]&amp;Tabla7[[#This Row],[Gerente de obra]]</f>
        <v>00000426Gonzalo Silva</v>
      </c>
      <c r="L409">
        <f>MATCH(Tabla7[[#This Row],[AUX]],Loockup_ObrasGerencia[[#All],[aux]],0)</f>
        <v>423</v>
      </c>
      <c r="O409" t="str">
        <f>UPPER(GERENCIAS[[#This Row],[Gerente de obra]])</f>
        <v>ORTIZ JUAN MANUEL</v>
      </c>
      <c r="R409" t="s">
        <v>927</v>
      </c>
      <c r="S409" t="s">
        <v>928</v>
      </c>
      <c r="T409" t="s">
        <v>19</v>
      </c>
      <c r="W409" s="8" t="s">
        <v>869</v>
      </c>
      <c r="X409" s="8" t="s">
        <v>868</v>
      </c>
      <c r="Y409" s="8" t="s">
        <v>17</v>
      </c>
      <c r="Z409" t="str">
        <f t="shared" si="6"/>
        <v>00000410SI</v>
      </c>
      <c r="AA409" s="11" t="e">
        <f>MATCH(Tabla9[[#This Row],[AUX]],Loockup_ObrasGerencia[[#All],[aux]],0)</f>
        <v>#N/A</v>
      </c>
    </row>
    <row r="410" spans="1:27" x14ac:dyDescent="0.25">
      <c r="A410" s="30" t="s">
        <v>871</v>
      </c>
      <c r="B410" s="30" t="s">
        <v>870</v>
      </c>
      <c r="C410" s="30" t="s">
        <v>17</v>
      </c>
      <c r="D410" s="30" t="str" cm="1">
        <f t="array" ref="D410">UPPER(_xlfn.XLOOKUP(Loockup_ObrasGerencia[[#This Row],[OBRA_PRONTO]],Tabla7[[#All],[Obra]],Tabla7[[#All],[Gerente de obra]],"Sin Obra Asignada",0))</f>
        <v>ORTIZ JUAN MANUEL</v>
      </c>
      <c r="E410" s="31" t="str">
        <f>Loockup_ObrasGerencia[[#This Row],[OBRA_PRONTO]]&amp;Loockup_ObrasGerencia[[#This Row],[GERENCIA]]</f>
        <v>00000411ORTIZ JUAN MANUEL</v>
      </c>
      <c r="H410" t="s">
        <v>898</v>
      </c>
      <c r="I410" t="s">
        <v>899</v>
      </c>
      <c r="J410" t="s">
        <v>24</v>
      </c>
      <c r="K410" t="str">
        <f>Tabla7[[#This Row],[Obra]]&amp;Tabla7[[#This Row],[Gerente de obra]]</f>
        <v>00000427Trujillo</v>
      </c>
      <c r="L410">
        <f>MATCH(Tabla7[[#This Row],[AUX]],Loockup_ObrasGerencia[[#All],[aux]],0)</f>
        <v>424</v>
      </c>
      <c r="O410" t="str">
        <f>UPPER(GERENCIAS[[#This Row],[Gerente de obra]])</f>
        <v>GONZALO SILVA</v>
      </c>
      <c r="R410" t="s">
        <v>929</v>
      </c>
      <c r="S410" t="s">
        <v>930</v>
      </c>
      <c r="T410" t="s">
        <v>368</v>
      </c>
      <c r="W410" s="8" t="s">
        <v>871</v>
      </c>
      <c r="X410" s="8" t="s">
        <v>870</v>
      </c>
      <c r="Y410" s="8" t="s">
        <v>17</v>
      </c>
      <c r="Z410" t="str">
        <f t="shared" si="6"/>
        <v>00000411SI</v>
      </c>
      <c r="AA410" s="11" t="e">
        <f>MATCH(Tabla9[[#This Row],[AUX]],Loockup_ObrasGerencia[[#All],[aux]],0)</f>
        <v>#N/A</v>
      </c>
    </row>
    <row r="411" spans="1:27" x14ac:dyDescent="0.25">
      <c r="A411" s="30" t="s">
        <v>873</v>
      </c>
      <c r="B411" s="30" t="s">
        <v>872</v>
      </c>
      <c r="C411" s="30" t="s">
        <v>17</v>
      </c>
      <c r="D411" s="30" t="str" cm="1">
        <f t="array" ref="D411">UPPER(_xlfn.XLOOKUP(Loockup_ObrasGerencia[[#This Row],[OBRA_PRONTO]],Tabla7[[#All],[Obra]],Tabla7[[#All],[Gerente de obra]],"Sin Obra Asignada",0))</f>
        <v>GONZALO SILVA</v>
      </c>
      <c r="E411" s="31" t="str">
        <f>Loockup_ObrasGerencia[[#This Row],[OBRA_PRONTO]]&amp;Loockup_ObrasGerencia[[#This Row],[GERENCIA]]</f>
        <v>00000412GONZALO SILVA</v>
      </c>
      <c r="H411" t="s">
        <v>900</v>
      </c>
      <c r="I411" t="s">
        <v>901</v>
      </c>
      <c r="J411" t="s">
        <v>18</v>
      </c>
      <c r="K411" t="str">
        <f>Tabla7[[#This Row],[Obra]]&amp;Tabla7[[#This Row],[Gerente de obra]]</f>
        <v>00000428Ortiz Juan Manuel</v>
      </c>
      <c r="L411">
        <f>MATCH(Tabla7[[#This Row],[AUX]],Loockup_ObrasGerencia[[#All],[aux]],0)</f>
        <v>425</v>
      </c>
      <c r="O411" t="str">
        <f>UPPER(GERENCIAS[[#This Row],[Gerente de obra]])</f>
        <v>GONZALO SILVA</v>
      </c>
      <c r="R411" t="s">
        <v>931</v>
      </c>
      <c r="S411" t="s">
        <v>932</v>
      </c>
      <c r="T411" t="s">
        <v>368</v>
      </c>
      <c r="W411" s="8" t="s">
        <v>873</v>
      </c>
      <c r="X411" s="8" t="s">
        <v>872</v>
      </c>
      <c r="Y411" s="8" t="s">
        <v>17</v>
      </c>
      <c r="Z411" t="str">
        <f t="shared" si="6"/>
        <v>00000412SI</v>
      </c>
      <c r="AA411" s="11" t="e">
        <f>MATCH(Tabla9[[#This Row],[AUX]],Loockup_ObrasGerencia[[#All],[aux]],0)</f>
        <v>#N/A</v>
      </c>
    </row>
    <row r="412" spans="1:27" x14ac:dyDescent="0.25">
      <c r="A412" s="30" t="s">
        <v>875</v>
      </c>
      <c r="B412" s="30" t="s">
        <v>874</v>
      </c>
      <c r="C412" s="30" t="s">
        <v>17</v>
      </c>
      <c r="D412" s="30" t="str" cm="1">
        <f t="array" ref="D412">UPPER(_xlfn.XLOOKUP(Loockup_ObrasGerencia[[#This Row],[OBRA_PRONTO]],Tabla7[[#All],[Obra]],Tabla7[[#All],[Gerente de obra]],"Sin Obra Asignada",0))</f>
        <v>GONZALO SILVA</v>
      </c>
      <c r="E412" s="31" t="str">
        <f>Loockup_ObrasGerencia[[#This Row],[OBRA_PRONTO]]&amp;Loockup_ObrasGerencia[[#This Row],[GERENCIA]]</f>
        <v>00000413GONZALO SILVA</v>
      </c>
      <c r="H412" t="s">
        <v>902</v>
      </c>
      <c r="I412" t="s">
        <v>903</v>
      </c>
      <c r="J412" t="s">
        <v>271</v>
      </c>
      <c r="K412" t="str">
        <f>Tabla7[[#This Row],[Obra]]&amp;Tabla7[[#This Row],[Gerente de obra]]</f>
        <v>00000429Catriel Gisela</v>
      </c>
      <c r="L412">
        <f>MATCH(Tabla7[[#This Row],[AUX]],Loockup_ObrasGerencia[[#All],[aux]],0)</f>
        <v>426</v>
      </c>
      <c r="O412" t="str">
        <f>UPPER(GERENCIAS[[#This Row],[Gerente de obra]])</f>
        <v>GONZALO SILVA</v>
      </c>
      <c r="R412" t="s">
        <v>933</v>
      </c>
      <c r="S412" t="s">
        <v>934</v>
      </c>
      <c r="T412" t="s">
        <v>368</v>
      </c>
      <c r="W412" s="8" t="s">
        <v>875</v>
      </c>
      <c r="X412" s="8" t="s">
        <v>874</v>
      </c>
      <c r="Y412" s="8" t="s">
        <v>17</v>
      </c>
      <c r="Z412" t="str">
        <f t="shared" si="6"/>
        <v>00000413SI</v>
      </c>
      <c r="AA412" s="11" t="e">
        <f>MATCH(Tabla9[[#This Row],[AUX]],Loockup_ObrasGerencia[[#All],[aux]],0)</f>
        <v>#N/A</v>
      </c>
    </row>
    <row r="413" spans="1:27" x14ac:dyDescent="0.25">
      <c r="A413" s="30" t="s">
        <v>877</v>
      </c>
      <c r="B413" s="30" t="s">
        <v>876</v>
      </c>
      <c r="C413" s="30" t="s">
        <v>270</v>
      </c>
      <c r="D413" s="30" t="str" cm="1">
        <f t="array" ref="D413">UPPER(_xlfn.XLOOKUP(Loockup_ObrasGerencia[[#This Row],[OBRA_PRONTO]],Tabla7[[#All],[Obra]],Tabla7[[#All],[Gerente de obra]],"Sin Obra Asignada",0))</f>
        <v>FRANCISCO DI LISIO</v>
      </c>
      <c r="E413" s="31" t="str">
        <f>Loockup_ObrasGerencia[[#This Row],[OBRA_PRONTO]]&amp;Loockup_ObrasGerencia[[#This Row],[GERENCIA]]</f>
        <v>00000414FRANCISCO DI LISIO</v>
      </c>
      <c r="H413" t="s">
        <v>904</v>
      </c>
      <c r="I413" t="s">
        <v>905</v>
      </c>
      <c r="J413" t="s">
        <v>271</v>
      </c>
      <c r="K413" t="str">
        <f>Tabla7[[#This Row],[Obra]]&amp;Tabla7[[#This Row],[Gerente de obra]]</f>
        <v>00000430Catriel Gisela</v>
      </c>
      <c r="L413">
        <f>MATCH(Tabla7[[#This Row],[AUX]],Loockup_ObrasGerencia[[#All],[aux]],0)</f>
        <v>427</v>
      </c>
      <c r="O413" t="str">
        <f>UPPER(GERENCIAS[[#This Row],[Gerente de obra]])</f>
        <v>FANJUL NICOLÁS</v>
      </c>
      <c r="R413" t="s">
        <v>935</v>
      </c>
      <c r="S413" t="s">
        <v>936</v>
      </c>
      <c r="T413" t="s">
        <v>226</v>
      </c>
      <c r="W413" s="8" t="s">
        <v>877</v>
      </c>
      <c r="X413" s="8" t="s">
        <v>876</v>
      </c>
      <c r="Y413" s="8" t="s">
        <v>270</v>
      </c>
      <c r="Z413" t="str">
        <f t="shared" si="6"/>
        <v>00000414ACTIVOS</v>
      </c>
      <c r="AA413" s="11" t="e">
        <f>MATCH(Tabla9[[#This Row],[AUX]],Loockup_ObrasGerencia[[#All],[aux]],0)</f>
        <v>#N/A</v>
      </c>
    </row>
    <row r="414" spans="1:27" x14ac:dyDescent="0.25">
      <c r="A414" s="30" t="s">
        <v>879</v>
      </c>
      <c r="B414" s="30" t="s">
        <v>878</v>
      </c>
      <c r="C414" s="30" t="s">
        <v>17</v>
      </c>
      <c r="D414" s="30" t="str" cm="1">
        <f t="array" ref="D414">UPPER(_xlfn.XLOOKUP(Loockup_ObrasGerencia[[#This Row],[OBRA_PRONTO]],Tabla7[[#All],[Obra]],Tabla7[[#All],[Gerente de obra]],"Sin Obra Asignada",0))</f>
        <v>GONZALO SILVA</v>
      </c>
      <c r="E414" s="31" t="str">
        <f>Loockup_ObrasGerencia[[#This Row],[OBRA_PRONTO]]&amp;Loockup_ObrasGerencia[[#This Row],[GERENCIA]]</f>
        <v>00000415GONZALO SILVA</v>
      </c>
      <c r="H414" t="s">
        <v>906</v>
      </c>
      <c r="I414" t="s">
        <v>907</v>
      </c>
      <c r="J414" t="s">
        <v>937</v>
      </c>
      <c r="K414" t="str">
        <f>Tabla7[[#This Row],[Obra]]&amp;Tabla7[[#This Row],[Gerente de obra]]</f>
        <v>00000431Walter Gallardo</v>
      </c>
      <c r="L414">
        <f>MATCH(Tabla7[[#This Row],[AUX]],Loockup_ObrasGerencia[[#All],[aux]],0)</f>
        <v>428</v>
      </c>
      <c r="O414" t="str">
        <f>UPPER(GERENCIAS[[#This Row],[Gerente de obra]])</f>
        <v>GONZALO SILVA</v>
      </c>
      <c r="R414" t="s">
        <v>938</v>
      </c>
      <c r="S414" t="s">
        <v>939</v>
      </c>
      <c r="T414" t="s">
        <v>368</v>
      </c>
      <c r="W414" s="8" t="s">
        <v>879</v>
      </c>
      <c r="X414" s="8" t="s">
        <v>878</v>
      </c>
      <c r="Y414" s="8" t="s">
        <v>17</v>
      </c>
      <c r="Z414" t="str">
        <f t="shared" si="6"/>
        <v>00000415SI</v>
      </c>
      <c r="AA414" s="11" t="e">
        <f>MATCH(Tabla9[[#This Row],[AUX]],Loockup_ObrasGerencia[[#All],[aux]],0)</f>
        <v>#N/A</v>
      </c>
    </row>
    <row r="415" spans="1:27" x14ac:dyDescent="0.25">
      <c r="A415" s="30" t="s">
        <v>881</v>
      </c>
      <c r="B415" s="30" t="s">
        <v>880</v>
      </c>
      <c r="C415" s="30" t="s">
        <v>17</v>
      </c>
      <c r="D415" s="30" t="str" cm="1">
        <f t="array" ref="D415">UPPER(_xlfn.XLOOKUP(Loockup_ObrasGerencia[[#This Row],[OBRA_PRONTO]],Tabla7[[#All],[Obra]],Tabla7[[#All],[Gerente de obra]],"Sin Obra Asignada",0))</f>
        <v>ORTIZ JUAN MANUEL</v>
      </c>
      <c r="E415" s="31" t="str">
        <f>Loockup_ObrasGerencia[[#This Row],[OBRA_PRONTO]]&amp;Loockup_ObrasGerencia[[#This Row],[GERENCIA]]</f>
        <v>00000416ORTIZ JUAN MANUEL</v>
      </c>
      <c r="H415" t="s">
        <v>909</v>
      </c>
      <c r="I415" t="s">
        <v>910</v>
      </c>
      <c r="J415" t="s">
        <v>69</v>
      </c>
      <c r="K415" t="str">
        <f>Tabla7[[#This Row],[Obra]]&amp;Tabla7[[#This Row],[Gerente de obra]]</f>
        <v>00000432Metzler Javier</v>
      </c>
      <c r="L415">
        <f>MATCH(Tabla7[[#This Row],[AUX]],Loockup_ObrasGerencia[[#All],[aux]],0)</f>
        <v>429</v>
      </c>
      <c r="O415" t="str">
        <f>UPPER(GERENCIAS[[#This Row],[Gerente de obra]])</f>
        <v>JOAQUIN SERNA</v>
      </c>
      <c r="R415" t="s">
        <v>940</v>
      </c>
      <c r="S415" t="s">
        <v>941</v>
      </c>
      <c r="T415" t="s">
        <v>942</v>
      </c>
      <c r="W415" s="8" t="s">
        <v>881</v>
      </c>
      <c r="X415" s="8" t="s">
        <v>880</v>
      </c>
      <c r="Y415" s="8" t="s">
        <v>17</v>
      </c>
      <c r="Z415" t="str">
        <f t="shared" si="6"/>
        <v>00000416SI</v>
      </c>
      <c r="AA415" s="11" t="e">
        <f>MATCH(Tabla9[[#This Row],[AUX]],Loockup_ObrasGerencia[[#All],[aux]],0)</f>
        <v>#N/A</v>
      </c>
    </row>
    <row r="416" spans="1:27" x14ac:dyDescent="0.25">
      <c r="A416" s="30" t="s">
        <v>883</v>
      </c>
      <c r="B416" s="30" t="s">
        <v>882</v>
      </c>
      <c r="C416" s="30" t="s">
        <v>17</v>
      </c>
      <c r="D416" s="30" t="str" cm="1">
        <f t="array" ref="D416">UPPER(_xlfn.XLOOKUP(Loockup_ObrasGerencia[[#This Row],[OBRA_PRONTO]],Tabla7[[#All],[Obra]],Tabla7[[#All],[Gerente de obra]],"Sin Obra Asignada",0))</f>
        <v>METZLER JAVIER</v>
      </c>
      <c r="E416" s="31" t="str">
        <f>Loockup_ObrasGerencia[[#This Row],[OBRA_PRONTO]]&amp;Loockup_ObrasGerencia[[#This Row],[GERENCIA]]</f>
        <v>00000417METZLER JAVIER</v>
      </c>
      <c r="H416" t="s">
        <v>911</v>
      </c>
      <c r="I416" t="s">
        <v>912</v>
      </c>
      <c r="J416" t="s">
        <v>271</v>
      </c>
      <c r="K416" t="str">
        <f>Tabla7[[#This Row],[Obra]]&amp;Tabla7[[#This Row],[Gerente de obra]]</f>
        <v>00000433Catriel Gisela</v>
      </c>
      <c r="L416">
        <f>MATCH(Tabla7[[#This Row],[AUX]],Loockup_ObrasGerencia[[#All],[aux]],0)</f>
        <v>430</v>
      </c>
      <c r="O416" t="str">
        <f>UPPER(GERENCIAS[[#This Row],[Gerente de obra]])</f>
        <v>CATRIEL GISELA</v>
      </c>
      <c r="R416" t="s">
        <v>943</v>
      </c>
      <c r="S416" t="s">
        <v>944</v>
      </c>
      <c r="T416" t="s">
        <v>243</v>
      </c>
      <c r="W416" s="8" t="s">
        <v>883</v>
      </c>
      <c r="X416" s="8" t="s">
        <v>882</v>
      </c>
      <c r="Y416" s="8" t="s">
        <v>17</v>
      </c>
      <c r="Z416" t="str">
        <f t="shared" si="6"/>
        <v>00000417SI</v>
      </c>
      <c r="AA416" s="11" t="e">
        <f>MATCH(Tabla9[[#This Row],[AUX]],Loockup_ObrasGerencia[[#All],[aux]],0)</f>
        <v>#N/A</v>
      </c>
    </row>
    <row r="417" spans="1:27" x14ac:dyDescent="0.25">
      <c r="A417" s="30" t="s">
        <v>885</v>
      </c>
      <c r="B417" s="30" t="s">
        <v>884</v>
      </c>
      <c r="C417" s="30" t="s">
        <v>17</v>
      </c>
      <c r="D417" s="30" t="str" cm="1">
        <f t="array" ref="D417">UPPER(_xlfn.XLOOKUP(Loockup_ObrasGerencia[[#This Row],[OBRA_PRONTO]],Tabla7[[#All],[Obra]],Tabla7[[#All],[Gerente de obra]],"Sin Obra Asignada",0))</f>
        <v>BARONE ALBERTO</v>
      </c>
      <c r="E417" s="31" t="str">
        <f>Loockup_ObrasGerencia[[#This Row],[OBRA_PRONTO]]&amp;Loockup_ObrasGerencia[[#This Row],[GERENCIA]]</f>
        <v>00000418BARONE ALBERTO</v>
      </c>
      <c r="H417" t="s">
        <v>913</v>
      </c>
      <c r="I417" t="s">
        <v>914</v>
      </c>
      <c r="J417" t="s">
        <v>945</v>
      </c>
      <c r="K417" t="str">
        <f>Tabla7[[#This Row],[Obra]]&amp;Tabla7[[#This Row],[Gerente de obra]]</f>
        <v>00000434Francisco Navarro</v>
      </c>
      <c r="L417">
        <f>MATCH(Tabla7[[#This Row],[AUX]],Loockup_ObrasGerencia[[#All],[aux]],0)</f>
        <v>431</v>
      </c>
      <c r="O417" t="str">
        <f>UPPER(GERENCIAS[[#This Row],[Gerente de obra]])</f>
        <v>TRUJILLO</v>
      </c>
      <c r="R417" t="s">
        <v>946</v>
      </c>
      <c r="S417" t="s">
        <v>947</v>
      </c>
      <c r="T417" t="s">
        <v>25</v>
      </c>
      <c r="W417" s="8" t="s">
        <v>885</v>
      </c>
      <c r="X417" s="8" t="s">
        <v>884</v>
      </c>
      <c r="Y417" s="8" t="s">
        <v>17</v>
      </c>
      <c r="Z417" t="str">
        <f t="shared" si="6"/>
        <v>00000418SI</v>
      </c>
      <c r="AA417" s="11" t="e">
        <f>MATCH(Tabla9[[#This Row],[AUX]],Loockup_ObrasGerencia[[#All],[aux]],0)</f>
        <v>#N/A</v>
      </c>
    </row>
    <row r="418" spans="1:27" x14ac:dyDescent="0.25">
      <c r="A418" s="30" t="s">
        <v>887</v>
      </c>
      <c r="B418" s="30" t="s">
        <v>886</v>
      </c>
      <c r="C418" s="30" t="s">
        <v>17</v>
      </c>
      <c r="D418" s="30" t="str" cm="1">
        <f t="array" ref="D418">UPPER(_xlfn.XLOOKUP(Loockup_ObrasGerencia[[#This Row],[OBRA_PRONTO]],Tabla7[[#All],[Obra]],Tabla7[[#All],[Gerente de obra]],"Sin Obra Asignada",0))</f>
        <v>FRANCISCO DI LISIO</v>
      </c>
      <c r="E418" s="31" t="str">
        <f>Loockup_ObrasGerencia[[#This Row],[OBRA_PRONTO]]&amp;Loockup_ObrasGerencia[[#This Row],[GERENCIA]]</f>
        <v>00000419FRANCISCO DI LISIO</v>
      </c>
      <c r="H418" t="s">
        <v>916</v>
      </c>
      <c r="I418" t="s">
        <v>917</v>
      </c>
      <c r="J418" t="s">
        <v>18</v>
      </c>
      <c r="K418" t="str">
        <f>Tabla7[[#This Row],[Obra]]&amp;Tabla7[[#This Row],[Gerente de obra]]</f>
        <v>00000435Ortiz Juan Manuel</v>
      </c>
      <c r="L418">
        <f>MATCH(Tabla7[[#This Row],[AUX]],Loockup_ObrasGerencia[[#All],[aux]],0)</f>
        <v>432</v>
      </c>
      <c r="O418" t="str">
        <f>UPPER(GERENCIAS[[#This Row],[Gerente de obra]])</f>
        <v>FRANCISCO DI LISIO</v>
      </c>
      <c r="R418" t="s">
        <v>948</v>
      </c>
      <c r="S418" t="s">
        <v>949</v>
      </c>
      <c r="T418" t="s">
        <v>78</v>
      </c>
      <c r="W418" s="8" t="s">
        <v>887</v>
      </c>
      <c r="X418" s="8" t="s">
        <v>886</v>
      </c>
      <c r="Y418" s="8" t="s">
        <v>17</v>
      </c>
      <c r="Z418" t="str">
        <f t="shared" si="6"/>
        <v>00000419SI</v>
      </c>
      <c r="AA418" s="11" t="e">
        <f>MATCH(Tabla9[[#This Row],[AUX]],Loockup_ObrasGerencia[[#All],[aux]],0)</f>
        <v>#N/A</v>
      </c>
    </row>
    <row r="419" spans="1:27" x14ac:dyDescent="0.25">
      <c r="A419" s="30" t="s">
        <v>889</v>
      </c>
      <c r="B419" s="30" t="s">
        <v>888</v>
      </c>
      <c r="C419" s="30" t="s">
        <v>17</v>
      </c>
      <c r="D419" s="30" t="str" cm="1">
        <f t="array" ref="D419">UPPER(_xlfn.XLOOKUP(Loockup_ObrasGerencia[[#This Row],[OBRA_PRONTO]],Tabla7[[#All],[Obra]],Tabla7[[#All],[Gerente de obra]],"Sin Obra Asignada",0))</f>
        <v>GONZALO SILVA</v>
      </c>
      <c r="E419" s="31" t="str">
        <f>Loockup_ObrasGerencia[[#This Row],[OBRA_PRONTO]]&amp;Loockup_ObrasGerencia[[#This Row],[GERENCIA]]</f>
        <v>00000420GONZALO SILVA</v>
      </c>
      <c r="H419" t="s">
        <v>918</v>
      </c>
      <c r="I419" t="s">
        <v>919</v>
      </c>
      <c r="J419" t="s">
        <v>397</v>
      </c>
      <c r="K419" t="str">
        <f>Tabla7[[#This Row],[Obra]]&amp;Tabla7[[#This Row],[Gerente de obra]]</f>
        <v>00000436Gonzalo Silva</v>
      </c>
      <c r="L419">
        <f>MATCH(Tabla7[[#This Row],[AUX]],Loockup_ObrasGerencia[[#All],[aux]],0)</f>
        <v>433</v>
      </c>
      <c r="O419" t="str">
        <f>UPPER(GERENCIAS[[#This Row],[Gerente de obra]])</f>
        <v>FRANCISCO DI LISIO</v>
      </c>
      <c r="R419" t="s">
        <v>950</v>
      </c>
      <c r="S419" t="s">
        <v>951</v>
      </c>
      <c r="T419" t="s">
        <v>78</v>
      </c>
      <c r="W419" s="8" t="s">
        <v>889</v>
      </c>
      <c r="X419" s="8" t="s">
        <v>888</v>
      </c>
      <c r="Y419" s="8" t="s">
        <v>17</v>
      </c>
      <c r="Z419" t="str">
        <f t="shared" si="6"/>
        <v>00000420SI</v>
      </c>
      <c r="AA419" s="11" t="e">
        <f>MATCH(Tabla9[[#This Row],[AUX]],Loockup_ObrasGerencia[[#All],[aux]],0)</f>
        <v>#N/A</v>
      </c>
    </row>
    <row r="420" spans="1:27" x14ac:dyDescent="0.25">
      <c r="A420" s="30" t="s">
        <v>891</v>
      </c>
      <c r="B420" s="30" t="s">
        <v>890</v>
      </c>
      <c r="C420" s="30" t="s">
        <v>952</v>
      </c>
      <c r="D420" s="30" t="str" cm="1">
        <f t="array" ref="D420">UPPER(_xlfn.XLOOKUP(Loockup_ObrasGerencia[[#This Row],[OBRA_PRONTO]],Tabla7[[#All],[Obra]],Tabla7[[#All],[Gerente de obra]],"Sin Obra Asignada",0))</f>
        <v>CALDERON JUAN IGNACIO</v>
      </c>
      <c r="E420" s="31" t="str">
        <f>Loockup_ObrasGerencia[[#This Row],[OBRA_PRONTO]]&amp;Loockup_ObrasGerencia[[#This Row],[GERENCIA]]</f>
        <v>00000421CALDERON JUAN IGNACIO</v>
      </c>
      <c r="H420" t="s">
        <v>920</v>
      </c>
      <c r="I420" t="s">
        <v>921</v>
      </c>
      <c r="J420" t="s">
        <v>24</v>
      </c>
      <c r="K420" t="str">
        <f>Tabla7[[#This Row],[Obra]]&amp;Tabla7[[#This Row],[Gerente de obra]]</f>
        <v>00000437Trujillo</v>
      </c>
      <c r="L420">
        <f>MATCH(Tabla7[[#This Row],[AUX]],Loockup_ObrasGerencia[[#All],[aux]],0)</f>
        <v>434</v>
      </c>
      <c r="O420" t="str">
        <f>UPPER(GERENCIAS[[#This Row],[Gerente de obra]])</f>
        <v>METZLER JAVIER</v>
      </c>
      <c r="R420" t="s">
        <v>953</v>
      </c>
      <c r="S420" t="s">
        <v>954</v>
      </c>
      <c r="T420" t="s">
        <v>68</v>
      </c>
      <c r="W420" s="8" t="s">
        <v>891</v>
      </c>
      <c r="X420" s="8" t="s">
        <v>890</v>
      </c>
      <c r="Y420" s="8" t="s">
        <v>952</v>
      </c>
      <c r="Z420" t="str">
        <f t="shared" si="6"/>
        <v>00000421COMPENSABLE WITT</v>
      </c>
      <c r="AA420" s="11" t="e">
        <f>MATCH(Tabla9[[#This Row],[AUX]],Loockup_ObrasGerencia[[#All],[aux]],0)</f>
        <v>#N/A</v>
      </c>
    </row>
    <row r="421" spans="1:27" x14ac:dyDescent="0.25">
      <c r="A421" s="30" t="s">
        <v>893</v>
      </c>
      <c r="B421" s="30" t="s">
        <v>892</v>
      </c>
      <c r="C421" s="30" t="s">
        <v>952</v>
      </c>
      <c r="D421" s="30" t="str" cm="1">
        <f t="array" ref="D421">UPPER(_xlfn.XLOOKUP(Loockup_ObrasGerencia[[#This Row],[OBRA_PRONTO]],Tabla7[[#All],[Obra]],Tabla7[[#All],[Gerente de obra]],"Sin Obra Asignada",0))</f>
        <v>FRANCISCO DI LISIO</v>
      </c>
      <c r="E421" s="31" t="str">
        <f>Loockup_ObrasGerencia[[#This Row],[OBRA_PRONTO]]&amp;Loockup_ObrasGerencia[[#This Row],[GERENCIA]]</f>
        <v>00000422FRANCISCO DI LISIO</v>
      </c>
      <c r="H421" t="s">
        <v>922</v>
      </c>
      <c r="I421" t="s">
        <v>891</v>
      </c>
      <c r="J421" t="s">
        <v>34</v>
      </c>
      <c r="K421" t="str">
        <f>Tabla7[[#This Row],[Obra]]&amp;Tabla7[[#This Row],[Gerente de obra]]</f>
        <v>00000438Calderon Juan Ignacio</v>
      </c>
      <c r="L421" t="e">
        <f>MATCH(Tabla7[[#This Row],[AUX]],Loockup_ObrasGerencia[[#All],[aux]],0)</f>
        <v>#N/A</v>
      </c>
      <c r="O421" t="str">
        <f>UPPER(GERENCIAS[[#This Row],[Gerente de obra]])</f>
        <v>ORTIZ JUAN MANUEL</v>
      </c>
      <c r="R421" t="s">
        <v>955</v>
      </c>
      <c r="S421" t="s">
        <v>956</v>
      </c>
      <c r="T421" t="s">
        <v>19</v>
      </c>
      <c r="W421" s="8" t="s">
        <v>893</v>
      </c>
      <c r="X421" s="8" t="s">
        <v>892</v>
      </c>
      <c r="Y421" s="8" t="s">
        <v>952</v>
      </c>
      <c r="Z421" t="str">
        <f t="shared" si="6"/>
        <v>00000422COMPENSABLE WITT</v>
      </c>
      <c r="AA421" s="11" t="e">
        <f>MATCH(Tabla9[[#This Row],[AUX]],Loockup_ObrasGerencia[[#All],[aux]],0)</f>
        <v>#N/A</v>
      </c>
    </row>
    <row r="422" spans="1:27" x14ac:dyDescent="0.25">
      <c r="A422" s="30" t="s">
        <v>895</v>
      </c>
      <c r="B422" s="30" t="s">
        <v>894</v>
      </c>
      <c r="C422" s="30" t="s">
        <v>267</v>
      </c>
      <c r="D422" s="30" t="str" cm="1">
        <f t="array" ref="D422">UPPER(_xlfn.XLOOKUP(Loockup_ObrasGerencia[[#This Row],[OBRA_PRONTO]],Tabla7[[#All],[Obra]],Tabla7[[#All],[Gerente de obra]],"Sin Obra Asignada",0))</f>
        <v>FRANCISCO DI LISIO</v>
      </c>
      <c r="E422" s="31" t="str">
        <f>Loockup_ObrasGerencia[[#This Row],[OBRA_PRONTO]]&amp;Loockup_ObrasGerencia[[#This Row],[GERENCIA]]</f>
        <v>00000423FRANCISCO DI LISIO</v>
      </c>
      <c r="H422" t="s">
        <v>923</v>
      </c>
      <c r="I422" t="s">
        <v>924</v>
      </c>
      <c r="J422" t="s">
        <v>397</v>
      </c>
      <c r="K422" t="str">
        <f>Tabla7[[#This Row],[Obra]]&amp;Tabla7[[#This Row],[Gerente de obra]]</f>
        <v>00000439Gonzalo Silva</v>
      </c>
      <c r="L422">
        <f>MATCH(Tabla7[[#This Row],[AUX]],Loockup_ObrasGerencia[[#All],[aux]],0)</f>
        <v>435</v>
      </c>
      <c r="O422" t="str">
        <f>UPPER(GERENCIAS[[#This Row],[Gerente de obra]])</f>
        <v>FRANCISCO DI LISIO</v>
      </c>
      <c r="R422" t="s">
        <v>957</v>
      </c>
      <c r="S422" t="s">
        <v>958</v>
      </c>
      <c r="T422" t="s">
        <v>78</v>
      </c>
      <c r="W422" s="8" t="s">
        <v>895</v>
      </c>
      <c r="X422" s="8" t="s">
        <v>894</v>
      </c>
      <c r="Y422" s="8" t="s">
        <v>17</v>
      </c>
      <c r="Z422" t="str">
        <f t="shared" si="6"/>
        <v>00000423SI</v>
      </c>
      <c r="AA422" s="11" t="e">
        <f>MATCH(Tabla9[[#This Row],[AUX]],Loockup_ObrasGerencia[[#All],[aux]],0)</f>
        <v>#N/A</v>
      </c>
    </row>
    <row r="423" spans="1:27" x14ac:dyDescent="0.25">
      <c r="A423" s="30" t="s">
        <v>897</v>
      </c>
      <c r="B423" s="30" t="s">
        <v>896</v>
      </c>
      <c r="C423" s="30" t="s">
        <v>17</v>
      </c>
      <c r="D423" s="30" t="str" cm="1">
        <f t="array" ref="D423">UPPER(_xlfn.XLOOKUP(Loockup_ObrasGerencia[[#This Row],[OBRA_PRONTO]],Tabla7[[#All],[Obra]],Tabla7[[#All],[Gerente de obra]],"Sin Obra Asignada",0))</f>
        <v>GONZALO SILVA</v>
      </c>
      <c r="E423" s="31" t="str">
        <f>Loockup_ObrasGerencia[[#This Row],[OBRA_PRONTO]]&amp;Loockup_ObrasGerencia[[#This Row],[GERENCIA]]</f>
        <v>00000426GONZALO SILVA</v>
      </c>
      <c r="H423" t="s">
        <v>925</v>
      </c>
      <c r="I423" t="s">
        <v>926</v>
      </c>
      <c r="J423" t="s">
        <v>141</v>
      </c>
      <c r="K423" t="str">
        <f>Tabla7[[#This Row],[Obra]]&amp;Tabla7[[#This Row],[Gerente de obra]]</f>
        <v>00000440Barone Alberto</v>
      </c>
      <c r="L423">
        <f>MATCH(Tabla7[[#This Row],[AUX]],Loockup_ObrasGerencia[[#All],[aux]],0)</f>
        <v>436</v>
      </c>
      <c r="O423" t="str">
        <f>UPPER(GERENCIAS[[#This Row],[Gerente de obra]])</f>
        <v>BARONE ALBERTO</v>
      </c>
      <c r="R423" t="s">
        <v>959</v>
      </c>
      <c r="S423" t="s">
        <v>960</v>
      </c>
      <c r="T423" t="s">
        <v>132</v>
      </c>
      <c r="W423" s="8" t="s">
        <v>897</v>
      </c>
      <c r="X423" s="8" t="s">
        <v>896</v>
      </c>
      <c r="Y423" s="8" t="s">
        <v>17</v>
      </c>
      <c r="Z423" t="str">
        <f t="shared" si="6"/>
        <v>00000426SI</v>
      </c>
      <c r="AA423" s="11" t="e">
        <f>MATCH(Tabla9[[#This Row],[AUX]],Loockup_ObrasGerencia[[#All],[aux]],0)</f>
        <v>#N/A</v>
      </c>
    </row>
    <row r="424" spans="1:27" x14ac:dyDescent="0.25">
      <c r="A424" s="30" t="s">
        <v>899</v>
      </c>
      <c r="B424" s="30" t="s">
        <v>898</v>
      </c>
      <c r="C424" s="30" t="s">
        <v>17</v>
      </c>
      <c r="D424" s="30" t="str" cm="1">
        <f t="array" ref="D424">UPPER(_xlfn.XLOOKUP(Loockup_ObrasGerencia[[#This Row],[OBRA_PRONTO]],Tabla7[[#All],[Obra]],Tabla7[[#All],[Gerente de obra]],"Sin Obra Asignada",0))</f>
        <v>TRUJILLO</v>
      </c>
      <c r="E424" s="31" t="str">
        <f>Loockup_ObrasGerencia[[#This Row],[OBRA_PRONTO]]&amp;Loockup_ObrasGerencia[[#This Row],[GERENCIA]]</f>
        <v>00000427TRUJILLO</v>
      </c>
      <c r="H424" t="s">
        <v>927</v>
      </c>
      <c r="I424" t="s">
        <v>928</v>
      </c>
      <c r="J424" t="s">
        <v>18</v>
      </c>
      <c r="K424" t="str">
        <f>Tabla7[[#This Row],[Obra]]&amp;Tabla7[[#This Row],[Gerente de obra]]</f>
        <v>00000441Ortiz Juan Manuel</v>
      </c>
      <c r="L424">
        <f>MATCH(Tabla7[[#This Row],[AUX]],Loockup_ObrasGerencia[[#All],[aux]],0)</f>
        <v>437</v>
      </c>
      <c r="O424" t="str">
        <f>UPPER(GERENCIAS[[#This Row],[Gerente de obra]])</f>
        <v>CATRIEL GISELA</v>
      </c>
      <c r="R424" t="s">
        <v>961</v>
      </c>
      <c r="S424" t="s">
        <v>962</v>
      </c>
      <c r="T424" t="s">
        <v>243</v>
      </c>
      <c r="W424" s="8" t="s">
        <v>899</v>
      </c>
      <c r="X424" s="8" t="s">
        <v>898</v>
      </c>
      <c r="Y424" s="8" t="s">
        <v>17</v>
      </c>
      <c r="Z424" t="str">
        <f t="shared" si="6"/>
        <v>00000427SI</v>
      </c>
      <c r="AA424" s="11" t="e">
        <f>MATCH(Tabla9[[#This Row],[AUX]],Loockup_ObrasGerencia[[#All],[aux]],0)</f>
        <v>#N/A</v>
      </c>
    </row>
    <row r="425" spans="1:27" x14ac:dyDescent="0.25">
      <c r="A425" s="30" t="s">
        <v>901</v>
      </c>
      <c r="B425" s="30" t="s">
        <v>900</v>
      </c>
      <c r="C425" s="30" t="s">
        <v>17</v>
      </c>
      <c r="D425" s="30" t="str" cm="1">
        <f t="array" ref="D425">UPPER(_xlfn.XLOOKUP(Loockup_ObrasGerencia[[#This Row],[OBRA_PRONTO]],Tabla7[[#All],[Obra]],Tabla7[[#All],[Gerente de obra]],"Sin Obra Asignada",0))</f>
        <v>ORTIZ JUAN MANUEL</v>
      </c>
      <c r="E425" s="31" t="str">
        <f>Loockup_ObrasGerencia[[#This Row],[OBRA_PRONTO]]&amp;Loockup_ObrasGerencia[[#This Row],[GERENCIA]]</f>
        <v>00000428ORTIZ JUAN MANUEL</v>
      </c>
      <c r="H425" t="s">
        <v>929</v>
      </c>
      <c r="I425" t="s">
        <v>930</v>
      </c>
      <c r="J425" t="s">
        <v>397</v>
      </c>
      <c r="K425" t="str">
        <f>Tabla7[[#This Row],[Obra]]&amp;Tabla7[[#This Row],[Gerente de obra]]</f>
        <v>00000442Gonzalo Silva</v>
      </c>
      <c r="L425">
        <f>MATCH(Tabla7[[#This Row],[AUX]],Loockup_ObrasGerencia[[#All],[aux]],0)</f>
        <v>438</v>
      </c>
      <c r="O425" t="str">
        <f>UPPER(GERENCIAS[[#This Row],[Gerente de obra]])</f>
        <v>FRANCISCO DI LISIO</v>
      </c>
      <c r="R425" t="s">
        <v>963</v>
      </c>
      <c r="S425" t="s">
        <v>964</v>
      </c>
      <c r="T425" t="s">
        <v>78</v>
      </c>
      <c r="W425" s="8" t="s">
        <v>901</v>
      </c>
      <c r="X425" s="8" t="s">
        <v>900</v>
      </c>
      <c r="Y425" s="8" t="s">
        <v>17</v>
      </c>
      <c r="Z425" t="str">
        <f t="shared" si="6"/>
        <v>00000428SI</v>
      </c>
      <c r="AA425" s="11" t="e">
        <f>MATCH(Tabla9[[#This Row],[AUX]],Loockup_ObrasGerencia[[#All],[aux]],0)</f>
        <v>#N/A</v>
      </c>
    </row>
    <row r="426" spans="1:27" x14ac:dyDescent="0.25">
      <c r="A426" s="30" t="s">
        <v>903</v>
      </c>
      <c r="B426" s="30" t="s">
        <v>902</v>
      </c>
      <c r="C426" s="30" t="s">
        <v>17</v>
      </c>
      <c r="D426" s="30" t="str" cm="1">
        <f t="array" ref="D426">UPPER(_xlfn.XLOOKUP(Loockup_ObrasGerencia[[#This Row],[OBRA_PRONTO]],Tabla7[[#All],[Obra]],Tabla7[[#All],[Gerente de obra]],"Sin Obra Asignada",0))</f>
        <v>CATRIEL GISELA</v>
      </c>
      <c r="E426" s="31" t="str">
        <f>Loockup_ObrasGerencia[[#This Row],[OBRA_PRONTO]]&amp;Loockup_ObrasGerencia[[#This Row],[GERENCIA]]</f>
        <v>00000429CATRIEL GISELA</v>
      </c>
      <c r="H426" t="s">
        <v>931</v>
      </c>
      <c r="I426" t="s">
        <v>932</v>
      </c>
      <c r="J426" t="s">
        <v>397</v>
      </c>
      <c r="K426" t="str">
        <f>Tabla7[[#This Row],[Obra]]&amp;Tabla7[[#This Row],[Gerente de obra]]</f>
        <v>00000443Gonzalo Silva</v>
      </c>
      <c r="L426">
        <f>MATCH(Tabla7[[#This Row],[AUX]],Loockup_ObrasGerencia[[#All],[aux]],0)</f>
        <v>439</v>
      </c>
      <c r="O426" t="str">
        <f>UPPER(GERENCIAS[[#This Row],[Gerente de obra]])</f>
        <v>FANJUL NICOLÁS</v>
      </c>
      <c r="R426" t="s">
        <v>965</v>
      </c>
      <c r="S426" t="s">
        <v>966</v>
      </c>
      <c r="T426" t="s">
        <v>226</v>
      </c>
      <c r="W426" s="8" t="s">
        <v>903</v>
      </c>
      <c r="X426" s="8" t="s">
        <v>902</v>
      </c>
      <c r="Y426" s="8" t="s">
        <v>17</v>
      </c>
      <c r="Z426" t="str">
        <f t="shared" si="6"/>
        <v>00000429SI</v>
      </c>
      <c r="AA426" s="11" t="e">
        <f>MATCH(Tabla9[[#This Row],[AUX]],Loockup_ObrasGerencia[[#All],[aux]],0)</f>
        <v>#N/A</v>
      </c>
    </row>
    <row r="427" spans="1:27" x14ac:dyDescent="0.25">
      <c r="A427" s="30" t="s">
        <v>905</v>
      </c>
      <c r="B427" s="30" t="s">
        <v>904</v>
      </c>
      <c r="C427" s="30" t="s">
        <v>17</v>
      </c>
      <c r="D427" s="30" t="str" cm="1">
        <f t="array" ref="D427">UPPER(_xlfn.XLOOKUP(Loockup_ObrasGerencia[[#This Row],[OBRA_PRONTO]],Tabla7[[#All],[Obra]],Tabla7[[#All],[Gerente de obra]],"Sin Obra Asignada",0))</f>
        <v>CATRIEL GISELA</v>
      </c>
      <c r="E427" s="31" t="str">
        <f>Loockup_ObrasGerencia[[#This Row],[OBRA_PRONTO]]&amp;Loockup_ObrasGerencia[[#This Row],[GERENCIA]]</f>
        <v>00000430CATRIEL GISELA</v>
      </c>
      <c r="H427" t="s">
        <v>933</v>
      </c>
      <c r="I427" t="s">
        <v>934</v>
      </c>
      <c r="J427" t="s">
        <v>397</v>
      </c>
      <c r="K427" t="str">
        <f>Tabla7[[#This Row],[Obra]]&amp;Tabla7[[#This Row],[Gerente de obra]]</f>
        <v>00000444Gonzalo Silva</v>
      </c>
      <c r="L427">
        <f>MATCH(Tabla7[[#This Row],[AUX]],Loockup_ObrasGerencia[[#All],[aux]],0)</f>
        <v>440</v>
      </c>
      <c r="O427" t="str">
        <f>UPPER(GERENCIAS[[#This Row],[Gerente de obra]])</f>
        <v>ORTIZ JUAN MANUEL</v>
      </c>
      <c r="R427" t="s">
        <v>967</v>
      </c>
      <c r="S427" t="s">
        <v>968</v>
      </c>
      <c r="T427" t="s">
        <v>19</v>
      </c>
      <c r="W427" s="8" t="s">
        <v>905</v>
      </c>
      <c r="X427" s="8" t="s">
        <v>904</v>
      </c>
      <c r="Y427" s="8" t="s">
        <v>17</v>
      </c>
      <c r="Z427" t="str">
        <f t="shared" si="6"/>
        <v>00000430SI</v>
      </c>
      <c r="AA427" s="11" t="e">
        <f>MATCH(Tabla9[[#This Row],[AUX]],Loockup_ObrasGerencia[[#All],[aux]],0)</f>
        <v>#N/A</v>
      </c>
    </row>
    <row r="428" spans="1:27" x14ac:dyDescent="0.25">
      <c r="A428" s="30" t="s">
        <v>907</v>
      </c>
      <c r="B428" s="30" t="s">
        <v>906</v>
      </c>
      <c r="C428" s="30" t="s">
        <v>17</v>
      </c>
      <c r="D428" s="30" t="str" cm="1">
        <f t="array" ref="D428">UPPER(_xlfn.XLOOKUP(Loockup_ObrasGerencia[[#This Row],[OBRA_PRONTO]],Tabla7[[#All],[Obra]],Tabla7[[#All],[Gerente de obra]],"Sin Obra Asignada",0))</f>
        <v>WALTER GALLARDO</v>
      </c>
      <c r="E428" s="31" t="str">
        <f>Loockup_ObrasGerencia[[#This Row],[OBRA_PRONTO]]&amp;Loockup_ObrasGerencia[[#This Row],[GERENCIA]]</f>
        <v>00000431WALTER GALLARDO</v>
      </c>
      <c r="H428" t="s">
        <v>935</v>
      </c>
      <c r="I428" t="s">
        <v>936</v>
      </c>
      <c r="J428" t="s">
        <v>240</v>
      </c>
      <c r="K428" t="str">
        <f>Tabla7[[#This Row],[Obra]]&amp;Tabla7[[#This Row],[Gerente de obra]]</f>
        <v>00000445Fanjul Nicolás</v>
      </c>
      <c r="L428">
        <f>MATCH(Tabla7[[#This Row],[AUX]],Loockup_ObrasGerencia[[#All],[aux]],0)</f>
        <v>441</v>
      </c>
      <c r="O428" t="str">
        <f>UPPER(GERENCIAS[[#This Row],[Gerente de obra]])</f>
        <v>CARDENAS PABLO</v>
      </c>
      <c r="R428" t="s">
        <v>969</v>
      </c>
      <c r="S428" t="s">
        <v>970</v>
      </c>
      <c r="T428" t="s">
        <v>422</v>
      </c>
      <c r="W428" s="8" t="s">
        <v>907</v>
      </c>
      <c r="X428" s="8" t="s">
        <v>906</v>
      </c>
      <c r="Y428" s="8" t="s">
        <v>17</v>
      </c>
      <c r="Z428" t="str">
        <f t="shared" si="6"/>
        <v>00000431SI</v>
      </c>
      <c r="AA428" s="11" t="e">
        <f>MATCH(Tabla9[[#This Row],[AUX]],Loockup_ObrasGerencia[[#All],[aux]],0)</f>
        <v>#N/A</v>
      </c>
    </row>
    <row r="429" spans="1:27" x14ac:dyDescent="0.25">
      <c r="A429" s="30" t="s">
        <v>910</v>
      </c>
      <c r="B429" s="30" t="s">
        <v>909</v>
      </c>
      <c r="C429" s="30" t="s">
        <v>17</v>
      </c>
      <c r="D429" s="30" t="str" cm="1">
        <f t="array" ref="D429">UPPER(_xlfn.XLOOKUP(Loockup_ObrasGerencia[[#This Row],[OBRA_PRONTO]],Tabla7[[#All],[Obra]],Tabla7[[#All],[Gerente de obra]],"Sin Obra Asignada",0))</f>
        <v>METZLER JAVIER</v>
      </c>
      <c r="E429" s="31" t="str">
        <f>Loockup_ObrasGerencia[[#This Row],[OBRA_PRONTO]]&amp;Loockup_ObrasGerencia[[#This Row],[GERENCIA]]</f>
        <v>00000432METZLER JAVIER</v>
      </c>
      <c r="H429" t="s">
        <v>938</v>
      </c>
      <c r="I429" t="s">
        <v>939</v>
      </c>
      <c r="J429" t="s">
        <v>397</v>
      </c>
      <c r="K429" t="str">
        <f>Tabla7[[#This Row],[Obra]]&amp;Tabla7[[#This Row],[Gerente de obra]]</f>
        <v>00000446Gonzalo Silva</v>
      </c>
      <c r="L429">
        <f>MATCH(Tabla7[[#This Row],[AUX]],Loockup_ObrasGerencia[[#All],[aux]],0)</f>
        <v>442</v>
      </c>
      <c r="O429" t="str">
        <f>UPPER(GERENCIAS[[#This Row],[Gerente de obra]])</f>
        <v>METZLER JAVIER</v>
      </c>
      <c r="R429" t="s">
        <v>971</v>
      </c>
      <c r="S429" t="s">
        <v>972</v>
      </c>
      <c r="T429" t="s">
        <v>68</v>
      </c>
      <c r="W429" s="8" t="s">
        <v>910</v>
      </c>
      <c r="X429" s="8" t="s">
        <v>909</v>
      </c>
      <c r="Y429" s="8" t="s">
        <v>17</v>
      </c>
      <c r="Z429" t="str">
        <f t="shared" si="6"/>
        <v>00000432SI</v>
      </c>
      <c r="AA429" s="11" t="e">
        <f>MATCH(Tabla9[[#This Row],[AUX]],Loockup_ObrasGerencia[[#All],[aux]],0)</f>
        <v>#N/A</v>
      </c>
    </row>
    <row r="430" spans="1:27" x14ac:dyDescent="0.25">
      <c r="A430" s="30" t="s">
        <v>912</v>
      </c>
      <c r="B430" s="30" t="s">
        <v>911</v>
      </c>
      <c r="C430" s="30" t="s">
        <v>17</v>
      </c>
      <c r="D430" s="30" t="str" cm="1">
        <f t="array" ref="D430">UPPER(_xlfn.XLOOKUP(Loockup_ObrasGerencia[[#This Row],[OBRA_PRONTO]],Tabla7[[#All],[Obra]],Tabla7[[#All],[Gerente de obra]],"Sin Obra Asignada",0))</f>
        <v>CATRIEL GISELA</v>
      </c>
      <c r="E430" s="31" t="str">
        <f>Loockup_ObrasGerencia[[#This Row],[OBRA_PRONTO]]&amp;Loockup_ObrasGerencia[[#This Row],[GERENCIA]]</f>
        <v>00000433CATRIEL GISELA</v>
      </c>
      <c r="H430" t="s">
        <v>940</v>
      </c>
      <c r="I430" t="s">
        <v>941</v>
      </c>
      <c r="J430" t="s">
        <v>973</v>
      </c>
      <c r="K430" t="str">
        <f>Tabla7[[#This Row],[Obra]]&amp;Tabla7[[#This Row],[Gerente de obra]]</f>
        <v>00000447Joaquin Serna</v>
      </c>
      <c r="L430">
        <f>MATCH(Tabla7[[#This Row],[AUX]],Loockup_ObrasGerencia[[#All],[aux]],0)</f>
        <v>443</v>
      </c>
      <c r="O430" t="str">
        <f>UPPER(GERENCIAS[[#This Row],[Gerente de obra]])</f>
        <v>ORTIZ JUAN MANUEL</v>
      </c>
      <c r="R430" t="s">
        <v>974</v>
      </c>
      <c r="S430" t="s">
        <v>975</v>
      </c>
      <c r="T430" t="s">
        <v>19</v>
      </c>
      <c r="W430" s="8" t="s">
        <v>912</v>
      </c>
      <c r="X430" s="8" t="s">
        <v>911</v>
      </c>
      <c r="Y430" s="8" t="s">
        <v>17</v>
      </c>
      <c r="Z430" t="str">
        <f t="shared" si="6"/>
        <v>00000433SI</v>
      </c>
      <c r="AA430" s="11" t="e">
        <f>MATCH(Tabla9[[#This Row],[AUX]],Loockup_ObrasGerencia[[#All],[aux]],0)</f>
        <v>#N/A</v>
      </c>
    </row>
    <row r="431" spans="1:27" x14ac:dyDescent="0.25">
      <c r="A431" s="30" t="s">
        <v>914</v>
      </c>
      <c r="B431" s="30" t="s">
        <v>913</v>
      </c>
      <c r="C431" s="30" t="s">
        <v>17</v>
      </c>
      <c r="D431" s="30" t="str" cm="1">
        <f t="array" ref="D431">UPPER(_xlfn.XLOOKUP(Loockup_ObrasGerencia[[#This Row],[OBRA_PRONTO]],Tabla7[[#All],[Obra]],Tabla7[[#All],[Gerente de obra]],"Sin Obra Asignada",0))</f>
        <v>FRANCISCO NAVARRO</v>
      </c>
      <c r="E431" s="31" t="str">
        <f>Loockup_ObrasGerencia[[#This Row],[OBRA_PRONTO]]&amp;Loockup_ObrasGerencia[[#This Row],[GERENCIA]]</f>
        <v>00000434FRANCISCO NAVARRO</v>
      </c>
      <c r="H431" t="s">
        <v>943</v>
      </c>
      <c r="I431" t="s">
        <v>944</v>
      </c>
      <c r="J431" t="s">
        <v>271</v>
      </c>
      <c r="K431" t="str">
        <f>Tabla7[[#This Row],[Obra]]&amp;Tabla7[[#This Row],[Gerente de obra]]</f>
        <v>00000448Catriel Gisela</v>
      </c>
      <c r="L431">
        <f>MATCH(Tabla7[[#This Row],[AUX]],Loockup_ObrasGerencia[[#All],[aux]],0)</f>
        <v>444</v>
      </c>
      <c r="O431" t="str">
        <f>UPPER(GERENCIAS[[#This Row],[Gerente de obra]])</f>
        <v>FANJUL NICOLÁS</v>
      </c>
      <c r="R431" t="s">
        <v>976</v>
      </c>
      <c r="S431" t="s">
        <v>977</v>
      </c>
      <c r="T431" t="s">
        <v>226</v>
      </c>
      <c r="W431" s="8" t="s">
        <v>914</v>
      </c>
      <c r="X431" s="8" t="s">
        <v>913</v>
      </c>
      <c r="Y431" s="8" t="s">
        <v>17</v>
      </c>
      <c r="Z431" t="str">
        <f t="shared" si="6"/>
        <v>00000434SI</v>
      </c>
      <c r="AA431" s="11" t="e">
        <f>MATCH(Tabla9[[#This Row],[AUX]],Loockup_ObrasGerencia[[#All],[aux]],0)</f>
        <v>#N/A</v>
      </c>
    </row>
    <row r="432" spans="1:27" x14ac:dyDescent="0.25">
      <c r="A432" s="30" t="s">
        <v>917</v>
      </c>
      <c r="B432" s="30" t="s">
        <v>916</v>
      </c>
      <c r="C432" s="30" t="s">
        <v>17</v>
      </c>
      <c r="D432" s="30" t="str" cm="1">
        <f t="array" ref="D432">UPPER(_xlfn.XLOOKUP(Loockup_ObrasGerencia[[#This Row],[OBRA_PRONTO]],Tabla7[[#All],[Obra]],Tabla7[[#All],[Gerente de obra]],"Sin Obra Asignada",0))</f>
        <v>ORTIZ JUAN MANUEL</v>
      </c>
      <c r="E432" s="31" t="str">
        <f>Loockup_ObrasGerencia[[#This Row],[OBRA_PRONTO]]&amp;Loockup_ObrasGerencia[[#This Row],[GERENCIA]]</f>
        <v>00000435ORTIZ JUAN MANUEL</v>
      </c>
      <c r="H432" t="s">
        <v>946</v>
      </c>
      <c r="I432" t="s">
        <v>947</v>
      </c>
      <c r="J432" t="s">
        <v>24</v>
      </c>
      <c r="K432" t="str">
        <f>Tabla7[[#This Row],[Obra]]&amp;Tabla7[[#This Row],[Gerente de obra]]</f>
        <v>00000450Trujillo</v>
      </c>
      <c r="L432">
        <f>MATCH(Tabla7[[#This Row],[AUX]],Loockup_ObrasGerencia[[#All],[aux]],0)</f>
        <v>446</v>
      </c>
      <c r="O432" t="str">
        <f>UPPER(GERENCIAS[[#This Row],[Gerente de obra]])</f>
        <v>BARONE ALBERTO</v>
      </c>
      <c r="R432" t="s">
        <v>978</v>
      </c>
      <c r="S432" t="s">
        <v>979</v>
      </c>
      <c r="T432" t="s">
        <v>132</v>
      </c>
      <c r="W432" s="8" t="s">
        <v>917</v>
      </c>
      <c r="X432" s="8" t="s">
        <v>916</v>
      </c>
      <c r="Y432" s="8" t="s">
        <v>17</v>
      </c>
      <c r="Z432" t="str">
        <f t="shared" si="6"/>
        <v>00000435SI</v>
      </c>
      <c r="AA432" s="11" t="e">
        <f>MATCH(Tabla9[[#This Row],[AUX]],Loockup_ObrasGerencia[[#All],[aux]],0)</f>
        <v>#N/A</v>
      </c>
    </row>
    <row r="433" spans="1:27" x14ac:dyDescent="0.25">
      <c r="A433" s="30" t="s">
        <v>919</v>
      </c>
      <c r="B433" s="30" t="s">
        <v>918</v>
      </c>
      <c r="C433" s="30" t="s">
        <v>17</v>
      </c>
      <c r="D433" s="30" t="str" cm="1">
        <f t="array" ref="D433">UPPER(_xlfn.XLOOKUP(Loockup_ObrasGerencia[[#This Row],[OBRA_PRONTO]],Tabla7[[#All],[Obra]],Tabla7[[#All],[Gerente de obra]],"Sin Obra Asignada",0))</f>
        <v>GONZALO SILVA</v>
      </c>
      <c r="E433" s="31" t="str">
        <f>Loockup_ObrasGerencia[[#This Row],[OBRA_PRONTO]]&amp;Loockup_ObrasGerencia[[#This Row],[GERENCIA]]</f>
        <v>00000436GONZALO SILVA</v>
      </c>
      <c r="H433" t="s">
        <v>948</v>
      </c>
      <c r="I433" t="s">
        <v>949</v>
      </c>
      <c r="J433" t="s">
        <v>79</v>
      </c>
      <c r="K433" t="str">
        <f>Tabla7[[#This Row],[Obra]]&amp;Tabla7[[#This Row],[Gerente de obra]]</f>
        <v>00000451Francisco Di Lisio</v>
      </c>
      <c r="L433">
        <f>MATCH(Tabla7[[#This Row],[AUX]],Loockup_ObrasGerencia[[#All],[aux]],0)</f>
        <v>447</v>
      </c>
      <c r="O433" t="str">
        <f>UPPER(GERENCIAS[[#This Row],[Gerente de obra]])</f>
        <v>FRANCISCO DI LISIO</v>
      </c>
      <c r="R433" t="s">
        <v>980</v>
      </c>
      <c r="S433" t="s">
        <v>981</v>
      </c>
      <c r="T433" t="s">
        <v>78</v>
      </c>
      <c r="W433" s="8" t="s">
        <v>919</v>
      </c>
      <c r="X433" s="8" t="s">
        <v>918</v>
      </c>
      <c r="Y433" s="8" t="s">
        <v>17</v>
      </c>
      <c r="Z433" t="str">
        <f t="shared" si="6"/>
        <v>00000436SI</v>
      </c>
      <c r="AA433" s="11" t="e">
        <f>MATCH(Tabla9[[#This Row],[AUX]],Loockup_ObrasGerencia[[#All],[aux]],0)</f>
        <v>#N/A</v>
      </c>
    </row>
    <row r="434" spans="1:27" x14ac:dyDescent="0.25">
      <c r="A434" s="30" t="s">
        <v>921</v>
      </c>
      <c r="B434" s="30" t="s">
        <v>920</v>
      </c>
      <c r="C434" s="30" t="s">
        <v>17</v>
      </c>
      <c r="D434" s="30" t="str" cm="1">
        <f t="array" ref="D434">UPPER(_xlfn.XLOOKUP(Loockup_ObrasGerencia[[#This Row],[OBRA_PRONTO]],Tabla7[[#All],[Obra]],Tabla7[[#All],[Gerente de obra]],"Sin Obra Asignada",0))</f>
        <v>TRUJILLO</v>
      </c>
      <c r="E434" s="31" t="str">
        <f>Loockup_ObrasGerencia[[#This Row],[OBRA_PRONTO]]&amp;Loockup_ObrasGerencia[[#This Row],[GERENCIA]]</f>
        <v>00000437TRUJILLO</v>
      </c>
      <c r="H434" t="s">
        <v>950</v>
      </c>
      <c r="I434" t="s">
        <v>951</v>
      </c>
      <c r="J434" t="s">
        <v>79</v>
      </c>
      <c r="K434" t="str">
        <f>Tabla7[[#This Row],[Obra]]&amp;Tabla7[[#This Row],[Gerente de obra]]</f>
        <v>00000452Francisco Di Lisio</v>
      </c>
      <c r="L434">
        <f>MATCH(Tabla7[[#This Row],[AUX]],Loockup_ObrasGerencia[[#All],[aux]],0)</f>
        <v>448</v>
      </c>
      <c r="O434" t="str">
        <f>UPPER(GERENCIAS[[#This Row],[Gerente de obra]])</f>
        <v>FRANCISCO NAVARRO</v>
      </c>
      <c r="R434" t="s">
        <v>982</v>
      </c>
      <c r="S434" t="s">
        <v>983</v>
      </c>
      <c r="T434" t="s">
        <v>915</v>
      </c>
      <c r="W434" s="8" t="s">
        <v>921</v>
      </c>
      <c r="X434" s="8" t="s">
        <v>920</v>
      </c>
      <c r="Y434" s="8" t="s">
        <v>17</v>
      </c>
      <c r="Z434" t="str">
        <f t="shared" si="6"/>
        <v>00000437SI</v>
      </c>
      <c r="AA434" s="11" t="e">
        <f>MATCH(Tabla9[[#This Row],[AUX]],Loockup_ObrasGerencia[[#All],[aux]],0)</f>
        <v>#N/A</v>
      </c>
    </row>
    <row r="435" spans="1:27" x14ac:dyDescent="0.25">
      <c r="A435" s="30" t="s">
        <v>924</v>
      </c>
      <c r="B435" s="30" t="s">
        <v>923</v>
      </c>
      <c r="C435" s="30" t="s">
        <v>17</v>
      </c>
      <c r="D435" s="30" t="str" cm="1">
        <f t="array" ref="D435">UPPER(_xlfn.XLOOKUP(Loockup_ObrasGerencia[[#This Row],[OBRA_PRONTO]],Tabla7[[#All],[Obra]],Tabla7[[#All],[Gerente de obra]],"Sin Obra Asignada",0))</f>
        <v>GONZALO SILVA</v>
      </c>
      <c r="E435" s="31" t="str">
        <f>Loockup_ObrasGerencia[[#This Row],[OBRA_PRONTO]]&amp;Loockup_ObrasGerencia[[#This Row],[GERENCIA]]</f>
        <v>00000439GONZALO SILVA</v>
      </c>
      <c r="H435" t="s">
        <v>953</v>
      </c>
      <c r="I435" t="s">
        <v>954</v>
      </c>
      <c r="J435" t="s">
        <v>69</v>
      </c>
      <c r="K435" t="str">
        <f>Tabla7[[#This Row],[Obra]]&amp;Tabla7[[#This Row],[Gerente de obra]]</f>
        <v>00000453Metzler Javier</v>
      </c>
      <c r="L435">
        <f>MATCH(Tabla7[[#This Row],[AUX]],Loockup_ObrasGerencia[[#All],[aux]],0)</f>
        <v>449</v>
      </c>
      <c r="O435" t="str">
        <f>UPPER(GERENCIAS[[#This Row],[Gerente de obra]])</f>
        <v>FRANCISCO NAVARRO</v>
      </c>
      <c r="R435" t="s">
        <v>984</v>
      </c>
      <c r="S435" t="s">
        <v>985</v>
      </c>
      <c r="T435" t="s">
        <v>915</v>
      </c>
      <c r="W435" s="8" t="s">
        <v>891</v>
      </c>
      <c r="X435" s="8" t="s">
        <v>922</v>
      </c>
      <c r="Y435" s="8" t="s">
        <v>64</v>
      </c>
      <c r="Z435" t="str">
        <f t="shared" si="6"/>
        <v>00000438ADMINISTRACION</v>
      </c>
      <c r="AA435" s="11" t="e">
        <f>MATCH(Tabla9[[#This Row],[AUX]],Loockup_ObrasGerencia[[#All],[aux]],0)</f>
        <v>#N/A</v>
      </c>
    </row>
    <row r="436" spans="1:27" x14ac:dyDescent="0.25">
      <c r="A436" s="30" t="s">
        <v>926</v>
      </c>
      <c r="B436" s="30" t="s">
        <v>925</v>
      </c>
      <c r="C436" s="30" t="s">
        <v>17</v>
      </c>
      <c r="D436" s="30" t="str" cm="1">
        <f t="array" ref="D436">UPPER(_xlfn.XLOOKUP(Loockup_ObrasGerencia[[#This Row],[OBRA_PRONTO]],Tabla7[[#All],[Obra]],Tabla7[[#All],[Gerente de obra]],"Sin Obra Asignada",0))</f>
        <v>BARONE ALBERTO</v>
      </c>
      <c r="E436" s="31" t="str">
        <f>Loockup_ObrasGerencia[[#This Row],[OBRA_PRONTO]]&amp;Loockup_ObrasGerencia[[#This Row],[GERENCIA]]</f>
        <v>00000440BARONE ALBERTO</v>
      </c>
      <c r="H436" t="s">
        <v>955</v>
      </c>
      <c r="I436" t="s">
        <v>956</v>
      </c>
      <c r="J436" t="s">
        <v>18</v>
      </c>
      <c r="K436" t="str">
        <f>Tabla7[[#This Row],[Obra]]&amp;Tabla7[[#This Row],[Gerente de obra]]</f>
        <v>00000454Ortiz Juan Manuel</v>
      </c>
      <c r="L436">
        <f>MATCH(Tabla7[[#This Row],[AUX]],Loockup_ObrasGerencia[[#All],[aux]],0)</f>
        <v>450</v>
      </c>
      <c r="O436" t="str">
        <f>UPPER(GERENCIAS[[#This Row],[Gerente de obra]])</f>
        <v>CARDENAS PABLO</v>
      </c>
      <c r="R436" t="s">
        <v>986</v>
      </c>
      <c r="S436" t="s">
        <v>987</v>
      </c>
      <c r="T436" t="s">
        <v>422</v>
      </c>
      <c r="W436" s="8" t="s">
        <v>924</v>
      </c>
      <c r="X436" s="8" t="s">
        <v>923</v>
      </c>
      <c r="Y436" s="8" t="s">
        <v>17</v>
      </c>
      <c r="Z436" t="str">
        <f t="shared" si="6"/>
        <v>00000439SI</v>
      </c>
      <c r="AA436" s="11" t="e">
        <f>MATCH(Tabla9[[#This Row],[AUX]],Loockup_ObrasGerencia[[#All],[aux]],0)</f>
        <v>#N/A</v>
      </c>
    </row>
    <row r="437" spans="1:27" x14ac:dyDescent="0.25">
      <c r="A437" s="30" t="s">
        <v>928</v>
      </c>
      <c r="B437" s="30" t="s">
        <v>927</v>
      </c>
      <c r="C437" s="30" t="s">
        <v>17</v>
      </c>
      <c r="D437" s="30" t="str" cm="1">
        <f t="array" ref="D437">UPPER(_xlfn.XLOOKUP(Loockup_ObrasGerencia[[#This Row],[OBRA_PRONTO]],Tabla7[[#All],[Obra]],Tabla7[[#All],[Gerente de obra]],"Sin Obra Asignada",0))</f>
        <v>ORTIZ JUAN MANUEL</v>
      </c>
      <c r="E437" s="31" t="str">
        <f>Loockup_ObrasGerencia[[#This Row],[OBRA_PRONTO]]&amp;Loockup_ObrasGerencia[[#This Row],[GERENCIA]]</f>
        <v>00000441ORTIZ JUAN MANUEL</v>
      </c>
      <c r="H437" t="s">
        <v>957</v>
      </c>
      <c r="I437" t="s">
        <v>958</v>
      </c>
      <c r="J437" t="s">
        <v>79</v>
      </c>
      <c r="K437" t="str">
        <f>Tabla7[[#This Row],[Obra]]&amp;Tabla7[[#This Row],[Gerente de obra]]</f>
        <v>00000455Francisco Di Lisio</v>
      </c>
      <c r="L437">
        <f>MATCH(Tabla7[[#This Row],[AUX]],Loockup_ObrasGerencia[[#All],[aux]],0)</f>
        <v>451</v>
      </c>
      <c r="O437" t="str">
        <f>UPPER(GERENCIAS[[#This Row],[Gerente de obra]])</f>
        <v>CALDERON JUAN IGNACIO</v>
      </c>
      <c r="R437" t="s">
        <v>988</v>
      </c>
      <c r="S437" t="s">
        <v>989</v>
      </c>
      <c r="T437" t="s">
        <v>35</v>
      </c>
      <c r="W437" s="8" t="s">
        <v>926</v>
      </c>
      <c r="X437" s="8" t="s">
        <v>925</v>
      </c>
      <c r="Y437" s="8" t="s">
        <v>17</v>
      </c>
      <c r="Z437" t="str">
        <f t="shared" si="6"/>
        <v>00000440SI</v>
      </c>
      <c r="AA437" s="11" t="e">
        <f>MATCH(Tabla9[[#This Row],[AUX]],Loockup_ObrasGerencia[[#All],[aux]],0)</f>
        <v>#N/A</v>
      </c>
    </row>
    <row r="438" spans="1:27" x14ac:dyDescent="0.25">
      <c r="A438" s="30" t="s">
        <v>930</v>
      </c>
      <c r="B438" s="30" t="s">
        <v>929</v>
      </c>
      <c r="C438" s="30" t="s">
        <v>17</v>
      </c>
      <c r="D438" s="30" t="str" cm="1">
        <f t="array" ref="D438">UPPER(_xlfn.XLOOKUP(Loockup_ObrasGerencia[[#This Row],[OBRA_PRONTO]],Tabla7[[#All],[Obra]],Tabla7[[#All],[Gerente de obra]],"Sin Obra Asignada",0))</f>
        <v>GONZALO SILVA</v>
      </c>
      <c r="E438" s="31" t="str">
        <f>Loockup_ObrasGerencia[[#This Row],[OBRA_PRONTO]]&amp;Loockup_ObrasGerencia[[#This Row],[GERENCIA]]</f>
        <v>00000442GONZALO SILVA</v>
      </c>
      <c r="H438" t="s">
        <v>959</v>
      </c>
      <c r="I438" t="s">
        <v>960</v>
      </c>
      <c r="J438" t="s">
        <v>141</v>
      </c>
      <c r="K438" t="str">
        <f>Tabla7[[#This Row],[Obra]]&amp;Tabla7[[#This Row],[Gerente de obra]]</f>
        <v>00000456Barone Alberto</v>
      </c>
      <c r="L438">
        <f>MATCH(Tabla7[[#This Row],[AUX]],Loockup_ObrasGerencia[[#All],[aux]],0)</f>
        <v>452</v>
      </c>
      <c r="O438" t="str">
        <f>UPPER(GERENCIAS[[#This Row],[Gerente de obra]])</f>
        <v>FRANCISCO DI LISIO</v>
      </c>
      <c r="R438" t="s">
        <v>990</v>
      </c>
      <c r="S438" t="s">
        <v>991</v>
      </c>
      <c r="T438" t="s">
        <v>78</v>
      </c>
      <c r="W438" s="8" t="s">
        <v>928</v>
      </c>
      <c r="X438" s="8" t="s">
        <v>927</v>
      </c>
      <c r="Y438" s="8" t="s">
        <v>17</v>
      </c>
      <c r="Z438" t="str">
        <f t="shared" si="6"/>
        <v>00000441SI</v>
      </c>
      <c r="AA438" s="11" t="e">
        <f>MATCH(Tabla9[[#This Row],[AUX]],Loockup_ObrasGerencia[[#All],[aux]],0)</f>
        <v>#N/A</v>
      </c>
    </row>
    <row r="439" spans="1:27" x14ac:dyDescent="0.25">
      <c r="A439" s="30" t="s">
        <v>932</v>
      </c>
      <c r="B439" s="30" t="s">
        <v>931</v>
      </c>
      <c r="C439" s="30" t="s">
        <v>17</v>
      </c>
      <c r="D439" s="30" t="str" cm="1">
        <f t="array" ref="D439">UPPER(_xlfn.XLOOKUP(Loockup_ObrasGerencia[[#This Row],[OBRA_PRONTO]],Tabla7[[#All],[Obra]],Tabla7[[#All],[Gerente de obra]],"Sin Obra Asignada",0))</f>
        <v>GONZALO SILVA</v>
      </c>
      <c r="E439" s="31" t="str">
        <f>Loockup_ObrasGerencia[[#This Row],[OBRA_PRONTO]]&amp;Loockup_ObrasGerencia[[#This Row],[GERENCIA]]</f>
        <v>00000443GONZALO SILVA</v>
      </c>
      <c r="H439" t="s">
        <v>961</v>
      </c>
      <c r="I439" t="s">
        <v>962</v>
      </c>
      <c r="J439" t="s">
        <v>271</v>
      </c>
      <c r="K439" t="str">
        <f>Tabla7[[#This Row],[Obra]]&amp;Tabla7[[#This Row],[Gerente de obra]]</f>
        <v>00000457Catriel Gisela</v>
      </c>
      <c r="L439">
        <f>MATCH(Tabla7[[#This Row],[AUX]],Loockup_ObrasGerencia[[#All],[aux]],0)</f>
        <v>453</v>
      </c>
      <c r="O439" t="str">
        <f>UPPER(GERENCIAS[[#This Row],[Gerente de obra]])</f>
        <v>CALDERON JUAN IGNACIO</v>
      </c>
      <c r="R439" t="s">
        <v>992</v>
      </c>
      <c r="S439" t="s">
        <v>993</v>
      </c>
      <c r="T439" t="s">
        <v>35</v>
      </c>
      <c r="W439" s="8" t="s">
        <v>930</v>
      </c>
      <c r="X439" s="8" t="s">
        <v>929</v>
      </c>
      <c r="Y439" s="8" t="s">
        <v>17</v>
      </c>
      <c r="Z439" t="str">
        <f t="shared" si="6"/>
        <v>00000442SI</v>
      </c>
      <c r="AA439" s="11" t="e">
        <f>MATCH(Tabla9[[#This Row],[AUX]],Loockup_ObrasGerencia[[#All],[aux]],0)</f>
        <v>#N/A</v>
      </c>
    </row>
    <row r="440" spans="1:27" x14ac:dyDescent="0.25">
      <c r="A440" s="30" t="s">
        <v>934</v>
      </c>
      <c r="B440" s="30" t="s">
        <v>933</v>
      </c>
      <c r="C440" s="30" t="s">
        <v>17</v>
      </c>
      <c r="D440" s="30" t="str" cm="1">
        <f t="array" ref="D440">UPPER(_xlfn.XLOOKUP(Loockup_ObrasGerencia[[#This Row],[OBRA_PRONTO]],Tabla7[[#All],[Obra]],Tabla7[[#All],[Gerente de obra]],"Sin Obra Asignada",0))</f>
        <v>GONZALO SILVA</v>
      </c>
      <c r="E440" s="31" t="str">
        <f>Loockup_ObrasGerencia[[#This Row],[OBRA_PRONTO]]&amp;Loockup_ObrasGerencia[[#This Row],[GERENCIA]]</f>
        <v>00000444GONZALO SILVA</v>
      </c>
      <c r="H440" t="s">
        <v>963</v>
      </c>
      <c r="I440" t="s">
        <v>964</v>
      </c>
      <c r="J440" t="s">
        <v>994</v>
      </c>
      <c r="K440" t="str">
        <f>Tabla7[[#This Row],[Obra]]&amp;Tabla7[[#This Row],[Gerente de obra]]</f>
        <v>00000458Francisco di Lisio</v>
      </c>
      <c r="L440">
        <f>MATCH(Tabla7[[#This Row],[AUX]],Loockup_ObrasGerencia[[#All],[aux]],0)</f>
        <v>454</v>
      </c>
      <c r="O440" t="str">
        <f>UPPER(GERENCIAS[[#This Row],[Gerente de obra]])</f>
        <v>CALDERON JUAN IGNACIO</v>
      </c>
      <c r="R440" t="s">
        <v>995</v>
      </c>
      <c r="S440" t="s">
        <v>996</v>
      </c>
      <c r="T440" t="s">
        <v>35</v>
      </c>
      <c r="W440" s="8" t="s">
        <v>932</v>
      </c>
      <c r="X440" s="8" t="s">
        <v>931</v>
      </c>
      <c r="Y440" s="8" t="s">
        <v>17</v>
      </c>
      <c r="Z440" t="str">
        <f t="shared" si="6"/>
        <v>00000443SI</v>
      </c>
      <c r="AA440" s="11" t="e">
        <f>MATCH(Tabla9[[#This Row],[AUX]],Loockup_ObrasGerencia[[#All],[aux]],0)</f>
        <v>#N/A</v>
      </c>
    </row>
    <row r="441" spans="1:27" x14ac:dyDescent="0.25">
      <c r="A441" s="30" t="s">
        <v>936</v>
      </c>
      <c r="B441" s="30" t="s">
        <v>935</v>
      </c>
      <c r="C441" s="30" t="s">
        <v>246</v>
      </c>
      <c r="D441" s="30" t="str" cm="1">
        <f t="array" ref="D441">UPPER(_xlfn.XLOOKUP(Loockup_ObrasGerencia[[#This Row],[OBRA_PRONTO]],Tabla7[[#All],[Obra]],Tabla7[[#All],[Gerente de obra]],"Sin Obra Asignada",0))</f>
        <v>FANJUL NICOLÁS</v>
      </c>
      <c r="E441" s="31" t="str">
        <f>Loockup_ObrasGerencia[[#This Row],[OBRA_PRONTO]]&amp;Loockup_ObrasGerencia[[#This Row],[GERENCIA]]</f>
        <v>00000445FANJUL NICOLÁS</v>
      </c>
      <c r="H441" t="s">
        <v>965</v>
      </c>
      <c r="I441" t="s">
        <v>966</v>
      </c>
      <c r="J441" t="s">
        <v>240</v>
      </c>
      <c r="K441" t="str">
        <f>Tabla7[[#This Row],[Obra]]&amp;Tabla7[[#This Row],[Gerente de obra]]</f>
        <v>00000459Fanjul Nicolás</v>
      </c>
      <c r="L441">
        <f>MATCH(Tabla7[[#This Row],[AUX]],Loockup_ObrasGerencia[[#All],[aux]],0)</f>
        <v>455</v>
      </c>
      <c r="O441" t="str">
        <f>UPPER(GERENCIAS[[#This Row],[Gerente de obra]])</f>
        <v>DIEGO AGUIRRE</v>
      </c>
      <c r="R441" t="s">
        <v>997</v>
      </c>
      <c r="S441" t="s">
        <v>998</v>
      </c>
      <c r="T441" t="s">
        <v>178</v>
      </c>
      <c r="W441" s="8" t="s">
        <v>934</v>
      </c>
      <c r="X441" s="8" t="s">
        <v>933</v>
      </c>
      <c r="Y441" s="8" t="s">
        <v>17</v>
      </c>
      <c r="Z441" t="str">
        <f t="shared" si="6"/>
        <v>00000444SI</v>
      </c>
      <c r="AA441" s="11" t="e">
        <f>MATCH(Tabla9[[#This Row],[AUX]],Loockup_ObrasGerencia[[#All],[aux]],0)</f>
        <v>#N/A</v>
      </c>
    </row>
    <row r="442" spans="1:27" x14ac:dyDescent="0.25">
      <c r="A442" s="30" t="s">
        <v>939</v>
      </c>
      <c r="B442" s="30" t="s">
        <v>938</v>
      </c>
      <c r="C442" s="30" t="s">
        <v>17</v>
      </c>
      <c r="D442" s="30" t="str" cm="1">
        <f t="array" ref="D442">UPPER(_xlfn.XLOOKUP(Loockup_ObrasGerencia[[#This Row],[OBRA_PRONTO]],Tabla7[[#All],[Obra]],Tabla7[[#All],[Gerente de obra]],"Sin Obra Asignada",0))</f>
        <v>GONZALO SILVA</v>
      </c>
      <c r="E442" s="31" t="str">
        <f>Loockup_ObrasGerencia[[#This Row],[OBRA_PRONTO]]&amp;Loockup_ObrasGerencia[[#This Row],[GERENCIA]]</f>
        <v>00000446GONZALO SILVA</v>
      </c>
      <c r="H442" t="s">
        <v>967</v>
      </c>
      <c r="I442" t="s">
        <v>968</v>
      </c>
      <c r="J442" t="s">
        <v>18</v>
      </c>
      <c r="K442" t="str">
        <f>Tabla7[[#This Row],[Obra]]&amp;Tabla7[[#This Row],[Gerente de obra]]</f>
        <v>00000460Ortiz Juan Manuel</v>
      </c>
      <c r="L442">
        <f>MATCH(Tabla7[[#This Row],[AUX]],Loockup_ObrasGerencia[[#All],[aux]],0)</f>
        <v>456</v>
      </c>
      <c r="O442" t="str">
        <f>UPPER(GERENCIAS[[#This Row],[Gerente de obra]])</f>
        <v>BARONE ALBERTO</v>
      </c>
      <c r="R442" t="s">
        <v>999</v>
      </c>
      <c r="S442" t="s">
        <v>1000</v>
      </c>
      <c r="T442" t="s">
        <v>132</v>
      </c>
      <c r="W442" s="8" t="s">
        <v>936</v>
      </c>
      <c r="X442" s="8" t="s">
        <v>935</v>
      </c>
      <c r="Y442" s="8" t="s">
        <v>246</v>
      </c>
      <c r="Z442" t="str">
        <f t="shared" si="6"/>
        <v>00000445COMPENSABLE SYGSA</v>
      </c>
      <c r="AA442" s="11" t="e">
        <f>MATCH(Tabla9[[#This Row],[AUX]],Loockup_ObrasGerencia[[#All],[aux]],0)</f>
        <v>#N/A</v>
      </c>
    </row>
    <row r="443" spans="1:27" x14ac:dyDescent="0.25">
      <c r="A443" s="30" t="s">
        <v>941</v>
      </c>
      <c r="B443" s="30" t="s">
        <v>940</v>
      </c>
      <c r="C443" s="30" t="s">
        <v>17</v>
      </c>
      <c r="D443" s="30" t="str" cm="1">
        <f t="array" ref="D443">UPPER(_xlfn.XLOOKUP(Loockup_ObrasGerencia[[#This Row],[OBRA_PRONTO]],Tabla7[[#All],[Obra]],Tabla7[[#All],[Gerente de obra]],"Sin Obra Asignada",0))</f>
        <v>JOAQUIN SERNA</v>
      </c>
      <c r="E443" s="31" t="str">
        <f>Loockup_ObrasGerencia[[#This Row],[OBRA_PRONTO]]&amp;Loockup_ObrasGerencia[[#This Row],[GERENCIA]]</f>
        <v>00000447JOAQUIN SERNA</v>
      </c>
      <c r="H443" t="s">
        <v>969</v>
      </c>
      <c r="I443" t="s">
        <v>970</v>
      </c>
      <c r="J443" t="s">
        <v>451</v>
      </c>
      <c r="K443" t="str">
        <f>Tabla7[[#This Row],[Obra]]&amp;Tabla7[[#This Row],[Gerente de obra]]</f>
        <v>00000461Cardenas Pablo</v>
      </c>
      <c r="L443">
        <f>MATCH(Tabla7[[#This Row],[AUX]],Loockup_ObrasGerencia[[#All],[aux]],0)</f>
        <v>457</v>
      </c>
      <c r="O443" t="str">
        <f>UPPER(GERENCIAS[[#This Row],[Gerente de obra]])</f>
        <v>ORTIZ JUAN MANUEL</v>
      </c>
      <c r="R443" t="s">
        <v>1001</v>
      </c>
      <c r="S443" t="s">
        <v>1002</v>
      </c>
      <c r="T443" t="s">
        <v>19</v>
      </c>
      <c r="W443" s="8" t="s">
        <v>939</v>
      </c>
      <c r="X443" s="8" t="s">
        <v>938</v>
      </c>
      <c r="Y443" s="8" t="s">
        <v>17</v>
      </c>
      <c r="Z443" t="str">
        <f t="shared" si="6"/>
        <v>00000446SI</v>
      </c>
      <c r="AA443" s="11" t="e">
        <f>MATCH(Tabla9[[#This Row],[AUX]],Loockup_ObrasGerencia[[#All],[aux]],0)</f>
        <v>#N/A</v>
      </c>
    </row>
    <row r="444" spans="1:27" x14ac:dyDescent="0.25">
      <c r="A444" s="30" t="s">
        <v>944</v>
      </c>
      <c r="B444" s="30" t="s">
        <v>943</v>
      </c>
      <c r="C444" s="30" t="s">
        <v>17</v>
      </c>
      <c r="D444" s="30" t="str" cm="1">
        <f t="array" ref="D444">UPPER(_xlfn.XLOOKUP(Loockup_ObrasGerencia[[#This Row],[OBRA_PRONTO]],Tabla7[[#All],[Obra]],Tabla7[[#All],[Gerente de obra]],"Sin Obra Asignada",0))</f>
        <v>CATRIEL GISELA</v>
      </c>
      <c r="E444" s="31" t="str">
        <f>Loockup_ObrasGerencia[[#This Row],[OBRA_PRONTO]]&amp;Loockup_ObrasGerencia[[#This Row],[GERENCIA]]</f>
        <v>00000448CATRIEL GISELA</v>
      </c>
      <c r="H444" t="s">
        <v>971</v>
      </c>
      <c r="I444" t="s">
        <v>972</v>
      </c>
      <c r="J444" t="s">
        <v>69</v>
      </c>
      <c r="K444" t="str">
        <f>Tabla7[[#This Row],[Obra]]&amp;Tabla7[[#This Row],[Gerente de obra]]</f>
        <v>00000462Metzler Javier</v>
      </c>
      <c r="L444">
        <f>MATCH(Tabla7[[#This Row],[AUX]],Loockup_ObrasGerencia[[#All],[aux]],0)</f>
        <v>458</v>
      </c>
      <c r="O444" t="str">
        <f>UPPER(GERENCIAS[[#This Row],[Gerente de obra]])</f>
        <v>FRANCISCO DI LISIO</v>
      </c>
      <c r="R444" t="s">
        <v>1003</v>
      </c>
      <c r="S444" t="s">
        <v>1004</v>
      </c>
      <c r="T444" t="s">
        <v>78</v>
      </c>
      <c r="W444" s="8" t="s">
        <v>941</v>
      </c>
      <c r="X444" s="8" t="s">
        <v>940</v>
      </c>
      <c r="Y444" s="8" t="s">
        <v>17</v>
      </c>
      <c r="Z444" t="str">
        <f t="shared" si="6"/>
        <v>00000447SI</v>
      </c>
      <c r="AA444" s="11" t="e">
        <f>MATCH(Tabla9[[#This Row],[AUX]],Loockup_ObrasGerencia[[#All],[aux]],0)</f>
        <v>#N/A</v>
      </c>
    </row>
    <row r="445" spans="1:27" x14ac:dyDescent="0.25">
      <c r="A445" s="30" t="s">
        <v>1007</v>
      </c>
      <c r="B445" s="30" t="s">
        <v>1008</v>
      </c>
      <c r="C445" s="30" t="s">
        <v>17</v>
      </c>
      <c r="D445" s="30" t="str" cm="1">
        <f t="array" ref="D445">UPPER(_xlfn.XLOOKUP(Loockup_ObrasGerencia[[#This Row],[OBRA_PRONTO]],Tabla7[[#All],[Obra]],Tabla7[[#All],[Gerente de obra]],"Sin Obra Asignada",0))</f>
        <v>SIN OBRA ASIGNADA</v>
      </c>
      <c r="E445" s="31" t="str">
        <f>Loockup_ObrasGerencia[[#This Row],[OBRA_PRONTO]]&amp;Loockup_ObrasGerencia[[#This Row],[GERENCIA]]</f>
        <v>00000449SIN OBRA ASIGNADA</v>
      </c>
      <c r="H445" t="s">
        <v>974</v>
      </c>
      <c r="I445" t="s">
        <v>975</v>
      </c>
      <c r="J445" t="s">
        <v>18</v>
      </c>
      <c r="K445" t="str">
        <f>Tabla7[[#This Row],[Obra]]&amp;Tabla7[[#This Row],[Gerente de obra]]</f>
        <v>00000463Ortiz Juan Manuel</v>
      </c>
      <c r="L445">
        <f>MATCH(Tabla7[[#This Row],[AUX]],Loockup_ObrasGerencia[[#All],[aux]],0)</f>
        <v>459</v>
      </c>
      <c r="O445" t="str">
        <f>UPPER(GERENCIAS[[#This Row],[Gerente de obra]])</f>
        <v>FRANCISCO DI LISIO</v>
      </c>
      <c r="R445" t="s">
        <v>1005</v>
      </c>
      <c r="S445" t="s">
        <v>1006</v>
      </c>
      <c r="T445" t="s">
        <v>78</v>
      </c>
      <c r="W445" s="8" t="s">
        <v>944</v>
      </c>
      <c r="X445" s="8" t="s">
        <v>943</v>
      </c>
      <c r="Y445" s="8" t="s">
        <v>17</v>
      </c>
      <c r="Z445" t="str">
        <f t="shared" si="6"/>
        <v>00000448SI</v>
      </c>
      <c r="AA445" s="11" t="e">
        <f>MATCH(Tabla9[[#This Row],[AUX]],Loockup_ObrasGerencia[[#All],[aux]],0)</f>
        <v>#N/A</v>
      </c>
    </row>
    <row r="446" spans="1:27" x14ac:dyDescent="0.25">
      <c r="A446" s="30" t="s">
        <v>947</v>
      </c>
      <c r="B446" s="30" t="s">
        <v>946</v>
      </c>
      <c r="C446" s="30" t="s">
        <v>17</v>
      </c>
      <c r="D446" s="30" t="str" cm="1">
        <f t="array" ref="D446">UPPER(_xlfn.XLOOKUP(Loockup_ObrasGerencia[[#This Row],[OBRA_PRONTO]],Tabla7[[#All],[Obra]],Tabla7[[#All],[Gerente de obra]],"Sin Obra Asignada",0))</f>
        <v>TRUJILLO</v>
      </c>
      <c r="E446" s="31" t="str">
        <f>Loockup_ObrasGerencia[[#This Row],[OBRA_PRONTO]]&amp;Loockup_ObrasGerencia[[#This Row],[GERENCIA]]</f>
        <v>00000450TRUJILLO</v>
      </c>
      <c r="H446" t="s">
        <v>976</v>
      </c>
      <c r="I446" t="s">
        <v>977</v>
      </c>
      <c r="J446" t="s">
        <v>240</v>
      </c>
      <c r="K446" t="str">
        <f>Tabla7[[#This Row],[Obra]]&amp;Tabla7[[#This Row],[Gerente de obra]]</f>
        <v>00000464Fanjul Nicolás</v>
      </c>
      <c r="L446">
        <f>MATCH(Tabla7[[#This Row],[AUX]],Loockup_ObrasGerencia[[#All],[aux]],0)</f>
        <v>460</v>
      </c>
      <c r="O446" t="str">
        <f>UPPER(GERENCIAS[[#This Row],[Gerente de obra]])</f>
        <v>CATRIEL GISELA</v>
      </c>
      <c r="R446" t="s">
        <v>1009</v>
      </c>
      <c r="S446" t="s">
        <v>1010</v>
      </c>
      <c r="T446" t="s">
        <v>243</v>
      </c>
      <c r="W446" s="8" t="s">
        <v>1007</v>
      </c>
      <c r="X446" s="8" t="s">
        <v>1008</v>
      </c>
      <c r="Y446" s="8" t="s">
        <v>17</v>
      </c>
      <c r="Z446" t="str">
        <f t="shared" si="6"/>
        <v>00000449SI</v>
      </c>
      <c r="AA446" s="11" t="e">
        <f>MATCH(Tabla9[[#This Row],[AUX]],Loockup_ObrasGerencia[[#All],[aux]],0)</f>
        <v>#N/A</v>
      </c>
    </row>
    <row r="447" spans="1:27" x14ac:dyDescent="0.25">
      <c r="A447" s="30" t="s">
        <v>949</v>
      </c>
      <c r="B447" s="30" t="s">
        <v>948</v>
      </c>
      <c r="C447" s="30" t="s">
        <v>17</v>
      </c>
      <c r="D447" s="30" t="str" cm="1">
        <f t="array" ref="D447">UPPER(_xlfn.XLOOKUP(Loockup_ObrasGerencia[[#This Row],[OBRA_PRONTO]],Tabla7[[#All],[Obra]],Tabla7[[#All],[Gerente de obra]],"Sin Obra Asignada",0))</f>
        <v>FRANCISCO DI LISIO</v>
      </c>
      <c r="E447" s="31" t="str">
        <f>Loockup_ObrasGerencia[[#This Row],[OBRA_PRONTO]]&amp;Loockup_ObrasGerencia[[#This Row],[GERENCIA]]</f>
        <v>00000451FRANCISCO DI LISIO</v>
      </c>
      <c r="H447" t="s">
        <v>978</v>
      </c>
      <c r="I447" t="s">
        <v>979</v>
      </c>
      <c r="J447" t="s">
        <v>141</v>
      </c>
      <c r="K447" t="str">
        <f>Tabla7[[#This Row],[Obra]]&amp;Tabla7[[#This Row],[Gerente de obra]]</f>
        <v>00000465Barone Alberto</v>
      </c>
      <c r="L447">
        <f>MATCH(Tabla7[[#This Row],[AUX]],Loockup_ObrasGerencia[[#All],[aux]],0)</f>
        <v>461</v>
      </c>
      <c r="O447" t="str">
        <f>UPPER(GERENCIAS[[#This Row],[Gerente de obra]])</f>
        <v>CALDERON JUAN IGNACIO</v>
      </c>
      <c r="R447" t="s">
        <v>1011</v>
      </c>
      <c r="S447" t="s">
        <v>1012</v>
      </c>
      <c r="T447" t="s">
        <v>35</v>
      </c>
      <c r="W447" s="8" t="s">
        <v>947</v>
      </c>
      <c r="X447" s="8" t="s">
        <v>946</v>
      </c>
      <c r="Y447" s="8" t="s">
        <v>17</v>
      </c>
      <c r="Z447" t="str">
        <f t="shared" si="6"/>
        <v>00000450SI</v>
      </c>
      <c r="AA447" s="11" t="e">
        <f>MATCH(Tabla9[[#This Row],[AUX]],Loockup_ObrasGerencia[[#All],[aux]],0)</f>
        <v>#N/A</v>
      </c>
    </row>
    <row r="448" spans="1:27" x14ac:dyDescent="0.25">
      <c r="A448" s="30" t="s">
        <v>951</v>
      </c>
      <c r="B448" s="30" t="s">
        <v>950</v>
      </c>
      <c r="C448" s="30" t="s">
        <v>17</v>
      </c>
      <c r="D448" s="30" t="str" cm="1">
        <f t="array" ref="D448">UPPER(_xlfn.XLOOKUP(Loockup_ObrasGerencia[[#This Row],[OBRA_PRONTO]],Tabla7[[#All],[Obra]],Tabla7[[#All],[Gerente de obra]],"Sin Obra Asignada",0))</f>
        <v>FRANCISCO DI LISIO</v>
      </c>
      <c r="E448" s="31" t="str">
        <f>Loockup_ObrasGerencia[[#This Row],[OBRA_PRONTO]]&amp;Loockup_ObrasGerencia[[#This Row],[GERENCIA]]</f>
        <v>00000452FRANCISCO DI LISIO</v>
      </c>
      <c r="H448" t="s">
        <v>980</v>
      </c>
      <c r="I448" t="s">
        <v>981</v>
      </c>
      <c r="J448" t="s">
        <v>79</v>
      </c>
      <c r="K448" t="str">
        <f>Tabla7[[#This Row],[Obra]]&amp;Tabla7[[#This Row],[Gerente de obra]]</f>
        <v>00000466Francisco Di Lisio</v>
      </c>
      <c r="L448">
        <f>MATCH(Tabla7[[#This Row],[AUX]],Loockup_ObrasGerencia[[#All],[aux]],0)</f>
        <v>462</v>
      </c>
      <c r="O448" t="str">
        <f>UPPER(GERENCIAS[[#This Row],[Gerente de obra]])</f>
        <v>OSCAR SANCHEZ</v>
      </c>
      <c r="R448" t="s">
        <v>1013</v>
      </c>
      <c r="S448" t="s">
        <v>1014</v>
      </c>
      <c r="T448" t="s">
        <v>1015</v>
      </c>
      <c r="W448" s="8" t="s">
        <v>949</v>
      </c>
      <c r="X448" s="8" t="s">
        <v>948</v>
      </c>
      <c r="Y448" s="8" t="s">
        <v>17</v>
      </c>
      <c r="Z448" t="str">
        <f t="shared" si="6"/>
        <v>00000451SI</v>
      </c>
      <c r="AA448" s="11" t="e">
        <f>MATCH(Tabla9[[#This Row],[AUX]],Loockup_ObrasGerencia[[#All],[aux]],0)</f>
        <v>#N/A</v>
      </c>
    </row>
    <row r="449" spans="1:27" x14ac:dyDescent="0.25">
      <c r="A449" s="30" t="s">
        <v>954</v>
      </c>
      <c r="B449" s="30" t="s">
        <v>953</v>
      </c>
      <c r="C449" s="30" t="s">
        <v>17</v>
      </c>
      <c r="D449" s="30" t="str" cm="1">
        <f t="array" ref="D449">UPPER(_xlfn.XLOOKUP(Loockup_ObrasGerencia[[#This Row],[OBRA_PRONTO]],Tabla7[[#All],[Obra]],Tabla7[[#All],[Gerente de obra]],"Sin Obra Asignada",0))</f>
        <v>METZLER JAVIER</v>
      </c>
      <c r="E449" s="31" t="str">
        <f>Loockup_ObrasGerencia[[#This Row],[OBRA_PRONTO]]&amp;Loockup_ObrasGerencia[[#This Row],[GERENCIA]]</f>
        <v>00000453METZLER JAVIER</v>
      </c>
      <c r="H449" t="s">
        <v>982</v>
      </c>
      <c r="I449" t="s">
        <v>983</v>
      </c>
      <c r="J449" t="s">
        <v>945</v>
      </c>
      <c r="K449" t="str">
        <f>Tabla7[[#This Row],[Obra]]&amp;Tabla7[[#This Row],[Gerente de obra]]</f>
        <v>00000467Francisco Navarro</v>
      </c>
      <c r="L449">
        <f>MATCH(Tabla7[[#This Row],[AUX]],Loockup_ObrasGerencia[[#All],[aux]],0)</f>
        <v>463</v>
      </c>
      <c r="O449" t="str">
        <f>UPPER(GERENCIAS[[#This Row],[Gerente de obra]])</f>
        <v>DIEGO IBAÑEZ</v>
      </c>
      <c r="R449" t="s">
        <v>1016</v>
      </c>
      <c r="S449" t="s">
        <v>1017</v>
      </c>
      <c r="T449" t="s">
        <v>30</v>
      </c>
      <c r="W449" s="8" t="s">
        <v>951</v>
      </c>
      <c r="X449" s="8" t="s">
        <v>950</v>
      </c>
      <c r="Y449" s="8" t="s">
        <v>17</v>
      </c>
      <c r="Z449" t="str">
        <f t="shared" si="6"/>
        <v>00000452SI</v>
      </c>
      <c r="AA449" s="11" t="e">
        <f>MATCH(Tabla9[[#This Row],[AUX]],Loockup_ObrasGerencia[[#All],[aux]],0)</f>
        <v>#N/A</v>
      </c>
    </row>
    <row r="450" spans="1:27" x14ac:dyDescent="0.25">
      <c r="A450" s="30" t="s">
        <v>956</v>
      </c>
      <c r="B450" s="30" t="s">
        <v>955</v>
      </c>
      <c r="C450" s="30" t="s">
        <v>17</v>
      </c>
      <c r="D450" s="30" t="str" cm="1">
        <f t="array" ref="D450">UPPER(_xlfn.XLOOKUP(Loockup_ObrasGerencia[[#This Row],[OBRA_PRONTO]],Tabla7[[#All],[Obra]],Tabla7[[#All],[Gerente de obra]],"Sin Obra Asignada",0))</f>
        <v>ORTIZ JUAN MANUEL</v>
      </c>
      <c r="E450" s="31" t="str">
        <f>Loockup_ObrasGerencia[[#This Row],[OBRA_PRONTO]]&amp;Loockup_ObrasGerencia[[#This Row],[GERENCIA]]</f>
        <v>00000454ORTIZ JUAN MANUEL</v>
      </c>
      <c r="H450" t="s">
        <v>984</v>
      </c>
      <c r="I450" t="s">
        <v>985</v>
      </c>
      <c r="J450" t="s">
        <v>945</v>
      </c>
      <c r="K450" t="str">
        <f>Tabla7[[#This Row],[Obra]]&amp;Tabla7[[#This Row],[Gerente de obra]]</f>
        <v>00000468Francisco Navarro</v>
      </c>
      <c r="L450">
        <f>MATCH(Tabla7[[#This Row],[AUX]],Loockup_ObrasGerencia[[#All],[aux]],0)</f>
        <v>464</v>
      </c>
      <c r="O450" t="str">
        <f>UPPER(GERENCIAS[[#This Row],[Gerente de obra]])</f>
        <v>FRANCISCO DI LISIO</v>
      </c>
      <c r="R450" t="s">
        <v>1018</v>
      </c>
      <c r="S450" t="s">
        <v>1019</v>
      </c>
      <c r="T450" t="s">
        <v>78</v>
      </c>
      <c r="W450" s="8" t="s">
        <v>954</v>
      </c>
      <c r="X450" s="8" t="s">
        <v>953</v>
      </c>
      <c r="Y450" s="8" t="s">
        <v>17</v>
      </c>
      <c r="Z450" t="str">
        <f t="shared" ref="Z450:Z513" si="7">X450&amp;Y450</f>
        <v>00000453SI</v>
      </c>
      <c r="AA450" s="11" t="e">
        <f>MATCH(Tabla9[[#This Row],[AUX]],Loockup_ObrasGerencia[[#All],[aux]],0)</f>
        <v>#N/A</v>
      </c>
    </row>
    <row r="451" spans="1:27" x14ac:dyDescent="0.25">
      <c r="A451" s="30" t="s">
        <v>958</v>
      </c>
      <c r="B451" s="30" t="s">
        <v>957</v>
      </c>
      <c r="C451" s="30" t="s">
        <v>267</v>
      </c>
      <c r="D451" s="30" t="str" cm="1">
        <f t="array" ref="D451">UPPER(_xlfn.XLOOKUP(Loockup_ObrasGerencia[[#This Row],[OBRA_PRONTO]],Tabla7[[#All],[Obra]],Tabla7[[#All],[Gerente de obra]],"Sin Obra Asignada",0))</f>
        <v>FRANCISCO DI LISIO</v>
      </c>
      <c r="E451" s="31" t="str">
        <f>Loockup_ObrasGerencia[[#This Row],[OBRA_PRONTO]]&amp;Loockup_ObrasGerencia[[#This Row],[GERENCIA]]</f>
        <v>00000455FRANCISCO DI LISIO</v>
      </c>
      <c r="H451" t="s">
        <v>986</v>
      </c>
      <c r="I451" t="s">
        <v>987</v>
      </c>
      <c r="J451" t="s">
        <v>451</v>
      </c>
      <c r="K451" t="str">
        <f>Tabla7[[#This Row],[Obra]]&amp;Tabla7[[#This Row],[Gerente de obra]]</f>
        <v>00000469Cardenas Pablo</v>
      </c>
      <c r="L451" t="e">
        <f>MATCH(Tabla7[[#This Row],[AUX]],Loockup_ObrasGerencia[[#All],[aux]],0)</f>
        <v>#N/A</v>
      </c>
      <c r="O451" t="str">
        <f>UPPER(GERENCIAS[[#This Row],[Gerente de obra]])</f>
        <v>CATRIEL GISELA</v>
      </c>
      <c r="R451" t="s">
        <v>1020</v>
      </c>
      <c r="S451" t="s">
        <v>1021</v>
      </c>
      <c r="T451" t="s">
        <v>243</v>
      </c>
      <c r="W451" s="8" t="s">
        <v>956</v>
      </c>
      <c r="X451" s="8" t="s">
        <v>955</v>
      </c>
      <c r="Y451" s="8" t="s">
        <v>17</v>
      </c>
      <c r="Z451" t="str">
        <f t="shared" si="7"/>
        <v>00000454SI</v>
      </c>
      <c r="AA451" s="11" t="e">
        <f>MATCH(Tabla9[[#This Row],[AUX]],Loockup_ObrasGerencia[[#All],[aux]],0)</f>
        <v>#N/A</v>
      </c>
    </row>
    <row r="452" spans="1:27" x14ac:dyDescent="0.25">
      <c r="A452" s="30" t="s">
        <v>960</v>
      </c>
      <c r="B452" s="30" t="s">
        <v>959</v>
      </c>
      <c r="C452" s="30" t="s">
        <v>17</v>
      </c>
      <c r="D452" s="30" t="str" cm="1">
        <f t="array" ref="D452">UPPER(_xlfn.XLOOKUP(Loockup_ObrasGerencia[[#This Row],[OBRA_PRONTO]],Tabla7[[#All],[Obra]],Tabla7[[#All],[Gerente de obra]],"Sin Obra Asignada",0))</f>
        <v>BARONE ALBERTO</v>
      </c>
      <c r="E452" s="31" t="str">
        <f>Loockup_ObrasGerencia[[#This Row],[OBRA_PRONTO]]&amp;Loockup_ObrasGerencia[[#This Row],[GERENCIA]]</f>
        <v>00000456BARONE ALBERTO</v>
      </c>
      <c r="H452" t="s">
        <v>988</v>
      </c>
      <c r="I452" t="s">
        <v>989</v>
      </c>
      <c r="J452" t="s">
        <v>34</v>
      </c>
      <c r="K452" t="str">
        <f>Tabla7[[#This Row],[Obra]]&amp;Tabla7[[#This Row],[Gerente de obra]]</f>
        <v>00000470Calderon Juan Ignacio</v>
      </c>
      <c r="L452">
        <f>MATCH(Tabla7[[#This Row],[AUX]],Loockup_ObrasGerencia[[#All],[aux]],0)</f>
        <v>465</v>
      </c>
      <c r="O452" t="str">
        <f>UPPER(GERENCIAS[[#This Row],[Gerente de obra]])</f>
        <v>TRUJILLO</v>
      </c>
      <c r="R452" t="s">
        <v>1022</v>
      </c>
      <c r="S452" t="s">
        <v>1023</v>
      </c>
      <c r="T452" t="s">
        <v>25</v>
      </c>
      <c r="W452" s="8" t="s">
        <v>958</v>
      </c>
      <c r="X452" s="8" t="s">
        <v>957</v>
      </c>
      <c r="Y452" s="8" t="s">
        <v>17</v>
      </c>
      <c r="Z452" t="str">
        <f t="shared" si="7"/>
        <v>00000455SI</v>
      </c>
      <c r="AA452" s="11" t="e">
        <f>MATCH(Tabla9[[#This Row],[AUX]],Loockup_ObrasGerencia[[#All],[aux]],0)</f>
        <v>#N/A</v>
      </c>
    </row>
    <row r="453" spans="1:27" x14ac:dyDescent="0.25">
      <c r="A453" s="30" t="s">
        <v>962</v>
      </c>
      <c r="B453" s="30" t="s">
        <v>961</v>
      </c>
      <c r="C453" s="30" t="s">
        <v>64</v>
      </c>
      <c r="D453" s="30" t="str" cm="1">
        <f t="array" ref="D453">UPPER(_xlfn.XLOOKUP(Loockup_ObrasGerencia[[#This Row],[OBRA_PRONTO]],Tabla7[[#All],[Obra]],Tabla7[[#All],[Gerente de obra]],"Sin Obra Asignada",0))</f>
        <v>CATRIEL GISELA</v>
      </c>
      <c r="E453" s="31" t="str">
        <f>Loockup_ObrasGerencia[[#This Row],[OBRA_PRONTO]]&amp;Loockup_ObrasGerencia[[#This Row],[GERENCIA]]</f>
        <v>00000457CATRIEL GISELA</v>
      </c>
      <c r="H453" t="s">
        <v>990</v>
      </c>
      <c r="I453" t="s">
        <v>991</v>
      </c>
      <c r="J453" t="s">
        <v>79</v>
      </c>
      <c r="K453" t="str">
        <f>Tabla7[[#This Row],[Obra]]&amp;Tabla7[[#This Row],[Gerente de obra]]</f>
        <v>00000471Francisco Di Lisio</v>
      </c>
      <c r="L453">
        <f>MATCH(Tabla7[[#This Row],[AUX]],Loockup_ObrasGerencia[[#All],[aux]],0)</f>
        <v>466</v>
      </c>
      <c r="O453" t="str">
        <f>UPPER(GERENCIAS[[#This Row],[Gerente de obra]])</f>
        <v>METZLER JAVIER</v>
      </c>
      <c r="R453" t="s">
        <v>1024</v>
      </c>
      <c r="S453" t="s">
        <v>1025</v>
      </c>
      <c r="T453" t="s">
        <v>68</v>
      </c>
      <c r="W453" s="8" t="s">
        <v>960</v>
      </c>
      <c r="X453" s="8" t="s">
        <v>959</v>
      </c>
      <c r="Y453" s="8" t="s">
        <v>17</v>
      </c>
      <c r="Z453" t="str">
        <f t="shared" si="7"/>
        <v>00000456SI</v>
      </c>
      <c r="AA453" s="11" t="e">
        <f>MATCH(Tabla9[[#This Row],[AUX]],Loockup_ObrasGerencia[[#All],[aux]],0)</f>
        <v>#N/A</v>
      </c>
    </row>
    <row r="454" spans="1:27" x14ac:dyDescent="0.25">
      <c r="A454" s="30" t="s">
        <v>964</v>
      </c>
      <c r="B454" s="30" t="s">
        <v>963</v>
      </c>
      <c r="C454" s="30" t="s">
        <v>952</v>
      </c>
      <c r="D454" s="30" t="str" cm="1">
        <f t="array" ref="D454">UPPER(_xlfn.XLOOKUP(Loockup_ObrasGerencia[[#This Row],[OBRA_PRONTO]],Tabla7[[#All],[Obra]],Tabla7[[#All],[Gerente de obra]],"Sin Obra Asignada",0))</f>
        <v>FRANCISCO DI LISIO</v>
      </c>
      <c r="E454" s="31" t="str">
        <f>Loockup_ObrasGerencia[[#This Row],[OBRA_PRONTO]]&amp;Loockup_ObrasGerencia[[#This Row],[GERENCIA]]</f>
        <v>00000458FRANCISCO DI LISIO</v>
      </c>
      <c r="H454" t="s">
        <v>992</v>
      </c>
      <c r="I454" t="s">
        <v>993</v>
      </c>
      <c r="J454" t="s">
        <v>34</v>
      </c>
      <c r="K454" t="str">
        <f>Tabla7[[#This Row],[Obra]]&amp;Tabla7[[#This Row],[Gerente de obra]]</f>
        <v>00000472Calderon Juan Ignacio</v>
      </c>
      <c r="L454">
        <f>MATCH(Tabla7[[#This Row],[AUX]],Loockup_ObrasGerencia[[#All],[aux]],0)</f>
        <v>467</v>
      </c>
      <c r="O454" t="str">
        <f>UPPER(GERENCIAS[[#This Row],[Gerente de obra]])</f>
        <v>METZLER JAVIER</v>
      </c>
      <c r="R454" t="s">
        <v>1026</v>
      </c>
      <c r="S454" t="s">
        <v>1027</v>
      </c>
      <c r="T454" t="s">
        <v>68</v>
      </c>
      <c r="W454" s="8" t="s">
        <v>962</v>
      </c>
      <c r="X454" s="8" t="s">
        <v>961</v>
      </c>
      <c r="Y454" s="8" t="s">
        <v>64</v>
      </c>
      <c r="Z454" t="str">
        <f t="shared" si="7"/>
        <v>00000457ADMINISTRACION</v>
      </c>
      <c r="AA454" s="11" t="e">
        <f>MATCH(Tabla9[[#This Row],[AUX]],Loockup_ObrasGerencia[[#All],[aux]],0)</f>
        <v>#N/A</v>
      </c>
    </row>
    <row r="455" spans="1:27" x14ac:dyDescent="0.25">
      <c r="A455" s="30" t="s">
        <v>966</v>
      </c>
      <c r="B455" s="30" t="s">
        <v>965</v>
      </c>
      <c r="C455" s="30" t="s">
        <v>246</v>
      </c>
      <c r="D455" s="30" t="str" cm="1">
        <f t="array" ref="D455">UPPER(_xlfn.XLOOKUP(Loockup_ObrasGerencia[[#This Row],[OBRA_PRONTO]],Tabla7[[#All],[Obra]],Tabla7[[#All],[Gerente de obra]],"Sin Obra Asignada",0))</f>
        <v>FANJUL NICOLÁS</v>
      </c>
      <c r="E455" s="31" t="str">
        <f>Loockup_ObrasGerencia[[#This Row],[OBRA_PRONTO]]&amp;Loockup_ObrasGerencia[[#This Row],[GERENCIA]]</f>
        <v>00000459FANJUL NICOLÁS</v>
      </c>
      <c r="H455" t="s">
        <v>995</v>
      </c>
      <c r="I455" t="s">
        <v>996</v>
      </c>
      <c r="J455" t="s">
        <v>34</v>
      </c>
      <c r="K455" t="str">
        <f>Tabla7[[#This Row],[Obra]]&amp;Tabla7[[#This Row],[Gerente de obra]]</f>
        <v>00000473Calderon Juan Ignacio</v>
      </c>
      <c r="L455">
        <f>MATCH(Tabla7[[#This Row],[AUX]],Loockup_ObrasGerencia[[#All],[aux]],0)</f>
        <v>468</v>
      </c>
      <c r="O455" t="str">
        <f>UPPER(GERENCIAS[[#This Row],[Gerente de obra]])</f>
        <v>CATRIEL GISELA</v>
      </c>
      <c r="R455" t="s">
        <v>1028</v>
      </c>
      <c r="S455" t="s">
        <v>1029</v>
      </c>
      <c r="T455" t="s">
        <v>243</v>
      </c>
      <c r="W455" s="8" t="s">
        <v>964</v>
      </c>
      <c r="X455" s="8" t="s">
        <v>963</v>
      </c>
      <c r="Y455" s="8" t="s">
        <v>952</v>
      </c>
      <c r="Z455" t="str">
        <f t="shared" si="7"/>
        <v>00000458COMPENSABLE WITT</v>
      </c>
      <c r="AA455" s="11" t="e">
        <f>MATCH(Tabla9[[#This Row],[AUX]],Loockup_ObrasGerencia[[#All],[aux]],0)</f>
        <v>#N/A</v>
      </c>
    </row>
    <row r="456" spans="1:27" x14ac:dyDescent="0.25">
      <c r="A456" s="30" t="s">
        <v>968</v>
      </c>
      <c r="B456" s="30" t="s">
        <v>967</v>
      </c>
      <c r="C456" s="30" t="s">
        <v>17</v>
      </c>
      <c r="D456" s="30" t="str" cm="1">
        <f t="array" ref="D456">UPPER(_xlfn.XLOOKUP(Loockup_ObrasGerencia[[#This Row],[OBRA_PRONTO]],Tabla7[[#All],[Obra]],Tabla7[[#All],[Gerente de obra]],"Sin Obra Asignada",0))</f>
        <v>ORTIZ JUAN MANUEL</v>
      </c>
      <c r="E456" s="31" t="str">
        <f>Loockup_ObrasGerencia[[#This Row],[OBRA_PRONTO]]&amp;Loockup_ObrasGerencia[[#This Row],[GERENCIA]]</f>
        <v>00000460ORTIZ JUAN MANUEL</v>
      </c>
      <c r="H456" t="s">
        <v>997</v>
      </c>
      <c r="I456" t="s">
        <v>998</v>
      </c>
      <c r="J456" t="s">
        <v>191</v>
      </c>
      <c r="K456" t="str">
        <f>Tabla7[[#This Row],[Obra]]&amp;Tabla7[[#This Row],[Gerente de obra]]</f>
        <v>00000474Diego Aguirre</v>
      </c>
      <c r="L456">
        <f>MATCH(Tabla7[[#This Row],[AUX]],Loockup_ObrasGerencia[[#All],[aux]],0)</f>
        <v>469</v>
      </c>
      <c r="O456" t="str">
        <f>UPPER(GERENCIAS[[#This Row],[Gerente de obra]])</f>
        <v>BDL</v>
      </c>
      <c r="R456" t="s">
        <v>1030</v>
      </c>
      <c r="S456" t="s">
        <v>1030</v>
      </c>
      <c r="T456" t="s">
        <v>1031</v>
      </c>
      <c r="W456" s="8" t="s">
        <v>966</v>
      </c>
      <c r="X456" s="8" t="s">
        <v>965</v>
      </c>
      <c r="Y456" s="8" t="s">
        <v>246</v>
      </c>
      <c r="Z456" t="str">
        <f t="shared" si="7"/>
        <v>00000459COMPENSABLE SYGSA</v>
      </c>
      <c r="AA456" s="11" t="e">
        <f>MATCH(Tabla9[[#This Row],[AUX]],Loockup_ObrasGerencia[[#All],[aux]],0)</f>
        <v>#N/A</v>
      </c>
    </row>
    <row r="457" spans="1:27" x14ac:dyDescent="0.25">
      <c r="A457" s="30" t="s">
        <v>970</v>
      </c>
      <c r="B457" s="30" t="s">
        <v>969</v>
      </c>
      <c r="C457" s="30" t="s">
        <v>17</v>
      </c>
      <c r="D457" s="30" t="str" cm="1">
        <f t="array" ref="D457">UPPER(_xlfn.XLOOKUP(Loockup_ObrasGerencia[[#This Row],[OBRA_PRONTO]],Tabla7[[#All],[Obra]],Tabla7[[#All],[Gerente de obra]],"Sin Obra Asignada",0))</f>
        <v>CARDENAS PABLO</v>
      </c>
      <c r="E457" s="31" t="str">
        <f>Loockup_ObrasGerencia[[#This Row],[OBRA_PRONTO]]&amp;Loockup_ObrasGerencia[[#This Row],[GERENCIA]]</f>
        <v>00000461CARDENAS PABLO</v>
      </c>
      <c r="H457" t="s">
        <v>999</v>
      </c>
      <c r="I457" t="s">
        <v>1000</v>
      </c>
      <c r="J457" t="s">
        <v>141</v>
      </c>
      <c r="K457" t="str">
        <f>Tabla7[[#This Row],[Obra]]&amp;Tabla7[[#This Row],[Gerente de obra]]</f>
        <v>00000475Barone Alberto</v>
      </c>
      <c r="L457">
        <f>MATCH(Tabla7[[#This Row],[AUX]],Loockup_ObrasGerencia[[#All],[aux]],0)</f>
        <v>470</v>
      </c>
      <c r="O457" t="str">
        <f>UPPER(GERENCIAS[[#This Row],[Gerente de obra]])</f>
        <v>BDL</v>
      </c>
      <c r="R457" t="s">
        <v>1032</v>
      </c>
      <c r="S457" t="s">
        <v>1033</v>
      </c>
      <c r="T457" t="s">
        <v>1031</v>
      </c>
      <c r="W457" s="8" t="s">
        <v>968</v>
      </c>
      <c r="X457" s="8" t="s">
        <v>967</v>
      </c>
      <c r="Y457" s="8" t="s">
        <v>17</v>
      </c>
      <c r="Z457" t="str">
        <f t="shared" si="7"/>
        <v>00000460SI</v>
      </c>
      <c r="AA457" s="11" t="e">
        <f>MATCH(Tabla9[[#This Row],[AUX]],Loockup_ObrasGerencia[[#All],[aux]],0)</f>
        <v>#N/A</v>
      </c>
    </row>
    <row r="458" spans="1:27" x14ac:dyDescent="0.25">
      <c r="A458" s="30" t="s">
        <v>972</v>
      </c>
      <c r="B458" s="30" t="s">
        <v>971</v>
      </c>
      <c r="C458" s="30" t="s">
        <v>17</v>
      </c>
      <c r="D458" s="30" t="str" cm="1">
        <f t="array" ref="D458">UPPER(_xlfn.XLOOKUP(Loockup_ObrasGerencia[[#This Row],[OBRA_PRONTO]],Tabla7[[#All],[Obra]],Tabla7[[#All],[Gerente de obra]],"Sin Obra Asignada",0))</f>
        <v>METZLER JAVIER</v>
      </c>
      <c r="E458" s="31" t="str">
        <f>Loockup_ObrasGerencia[[#This Row],[OBRA_PRONTO]]&amp;Loockup_ObrasGerencia[[#This Row],[GERENCIA]]</f>
        <v>00000462METZLER JAVIER</v>
      </c>
      <c r="H458" t="s">
        <v>1001</v>
      </c>
      <c r="I458" t="s">
        <v>1002</v>
      </c>
      <c r="J458" t="s">
        <v>18</v>
      </c>
      <c r="K458" t="str">
        <f>Tabla7[[#This Row],[Obra]]&amp;Tabla7[[#This Row],[Gerente de obra]]</f>
        <v>00000476Ortiz Juan Manuel</v>
      </c>
      <c r="L458">
        <f>MATCH(Tabla7[[#This Row],[AUX]],Loockup_ObrasGerencia[[#All],[aux]],0)</f>
        <v>471</v>
      </c>
      <c r="O458" t="str">
        <f>UPPER(GERENCIAS[[#This Row],[Gerente de obra]])</f>
        <v>FRANCISCO DI LISIO</v>
      </c>
      <c r="R458" t="s">
        <v>1034</v>
      </c>
      <c r="S458" t="s">
        <v>1034</v>
      </c>
      <c r="T458" t="s">
        <v>78</v>
      </c>
      <c r="W458" s="8" t="s">
        <v>970</v>
      </c>
      <c r="X458" s="8" t="s">
        <v>969</v>
      </c>
      <c r="Y458" s="8" t="s">
        <v>17</v>
      </c>
      <c r="Z458" t="str">
        <f t="shared" si="7"/>
        <v>00000461SI</v>
      </c>
      <c r="AA458" s="11" t="e">
        <f>MATCH(Tabla9[[#This Row],[AUX]],Loockup_ObrasGerencia[[#All],[aux]],0)</f>
        <v>#N/A</v>
      </c>
    </row>
    <row r="459" spans="1:27" x14ac:dyDescent="0.25">
      <c r="A459" s="30" t="s">
        <v>975</v>
      </c>
      <c r="B459" s="30" t="s">
        <v>974</v>
      </c>
      <c r="C459" s="30" t="s">
        <v>64</v>
      </c>
      <c r="D459" s="30" t="str" cm="1">
        <f t="array" ref="D459">UPPER(_xlfn.XLOOKUP(Loockup_ObrasGerencia[[#This Row],[OBRA_PRONTO]],Tabla7[[#All],[Obra]],Tabla7[[#All],[Gerente de obra]],"Sin Obra Asignada",0))</f>
        <v>ORTIZ JUAN MANUEL</v>
      </c>
      <c r="E459" s="31" t="str">
        <f>Loockup_ObrasGerencia[[#This Row],[OBRA_PRONTO]]&amp;Loockup_ObrasGerencia[[#This Row],[GERENCIA]]</f>
        <v>00000463ORTIZ JUAN MANUEL</v>
      </c>
      <c r="H459" t="s">
        <v>1003</v>
      </c>
      <c r="I459" t="s">
        <v>1004</v>
      </c>
      <c r="J459" t="s">
        <v>79</v>
      </c>
      <c r="K459" t="str">
        <f>Tabla7[[#This Row],[Obra]]&amp;Tabla7[[#This Row],[Gerente de obra]]</f>
        <v>00000477Francisco Di Lisio</v>
      </c>
      <c r="L459">
        <f>MATCH(Tabla7[[#This Row],[AUX]],Loockup_ObrasGerencia[[#All],[aux]],0)</f>
        <v>472</v>
      </c>
      <c r="O459" t="str">
        <f>UPPER(GERENCIAS[[#This Row],[Gerente de obra]])</f>
        <v>FRANCISCO DI LISIO</v>
      </c>
      <c r="R459" t="s">
        <v>669</v>
      </c>
      <c r="S459" t="s">
        <v>669</v>
      </c>
      <c r="T459" t="s">
        <v>78</v>
      </c>
      <c r="W459" s="8" t="s">
        <v>972</v>
      </c>
      <c r="X459" s="8" t="s">
        <v>971</v>
      </c>
      <c r="Y459" s="8" t="s">
        <v>17</v>
      </c>
      <c r="Z459" t="str">
        <f t="shared" si="7"/>
        <v>00000462SI</v>
      </c>
      <c r="AA459" s="11" t="e">
        <f>MATCH(Tabla9[[#This Row],[AUX]],Loockup_ObrasGerencia[[#All],[aux]],0)</f>
        <v>#N/A</v>
      </c>
    </row>
    <row r="460" spans="1:27" x14ac:dyDescent="0.25">
      <c r="A460" s="30" t="s">
        <v>977</v>
      </c>
      <c r="B460" s="30" t="s">
        <v>976</v>
      </c>
      <c r="C460" s="30" t="s">
        <v>246</v>
      </c>
      <c r="D460" s="30" t="str" cm="1">
        <f t="array" ref="D460">UPPER(_xlfn.XLOOKUP(Loockup_ObrasGerencia[[#This Row],[OBRA_PRONTO]],Tabla7[[#All],[Obra]],Tabla7[[#All],[Gerente de obra]],"Sin Obra Asignada",0))</f>
        <v>FANJUL NICOLÁS</v>
      </c>
      <c r="E460" s="31" t="str">
        <f>Loockup_ObrasGerencia[[#This Row],[OBRA_PRONTO]]&amp;Loockup_ObrasGerencia[[#This Row],[GERENCIA]]</f>
        <v>00000464FANJUL NICOLÁS</v>
      </c>
      <c r="H460" t="s">
        <v>1005</v>
      </c>
      <c r="I460" t="s">
        <v>1006</v>
      </c>
      <c r="J460" t="s">
        <v>79</v>
      </c>
      <c r="K460" t="str">
        <f>Tabla7[[#This Row],[Obra]]&amp;Tabla7[[#This Row],[Gerente de obra]]</f>
        <v>00000478Francisco Di Lisio</v>
      </c>
      <c r="L460">
        <f>MATCH(Tabla7[[#This Row],[AUX]],Loockup_ObrasGerencia[[#All],[aux]],0)</f>
        <v>473</v>
      </c>
      <c r="O460" t="str">
        <f>UPPER(GERENCIAS[[#This Row],[Gerente de obra]])</f>
        <v>BDL</v>
      </c>
      <c r="R460" t="s">
        <v>1035</v>
      </c>
      <c r="S460" t="s">
        <v>1036</v>
      </c>
      <c r="T460" t="s">
        <v>1031</v>
      </c>
      <c r="W460" s="8" t="s">
        <v>975</v>
      </c>
      <c r="X460" s="8" t="s">
        <v>974</v>
      </c>
      <c r="Y460" s="8" t="s">
        <v>64</v>
      </c>
      <c r="Z460" t="str">
        <f t="shared" si="7"/>
        <v>00000463ADMINISTRACION</v>
      </c>
      <c r="AA460" s="11" t="e">
        <f>MATCH(Tabla9[[#This Row],[AUX]],Loockup_ObrasGerencia[[#All],[aux]],0)</f>
        <v>#N/A</v>
      </c>
    </row>
    <row r="461" spans="1:27" x14ac:dyDescent="0.25">
      <c r="A461" s="30" t="s">
        <v>979</v>
      </c>
      <c r="B461" s="30" t="s">
        <v>978</v>
      </c>
      <c r="C461" s="30" t="s">
        <v>17</v>
      </c>
      <c r="D461" s="30" t="str" cm="1">
        <f t="array" ref="D461">UPPER(_xlfn.XLOOKUP(Loockup_ObrasGerencia[[#This Row],[OBRA_PRONTO]],Tabla7[[#All],[Obra]],Tabla7[[#All],[Gerente de obra]],"Sin Obra Asignada",0))</f>
        <v>BARONE ALBERTO</v>
      </c>
      <c r="E461" s="31" t="str">
        <f>Loockup_ObrasGerencia[[#This Row],[OBRA_PRONTO]]&amp;Loockup_ObrasGerencia[[#This Row],[GERENCIA]]</f>
        <v>00000465BARONE ALBERTO</v>
      </c>
      <c r="H461" t="s">
        <v>1009</v>
      </c>
      <c r="I461" t="s">
        <v>1010</v>
      </c>
      <c r="J461" t="s">
        <v>271</v>
      </c>
      <c r="K461" t="str">
        <f>Tabla7[[#This Row],[Obra]]&amp;Tabla7[[#This Row],[Gerente de obra]]</f>
        <v>00000479Catriel Gisela</v>
      </c>
      <c r="L461">
        <f>MATCH(Tabla7[[#This Row],[AUX]],Loockup_ObrasGerencia[[#All],[aux]],0)</f>
        <v>474</v>
      </c>
      <c r="O461" t="str">
        <f>UPPER(GERENCIAS[[#This Row],[Gerente de obra]])</f>
        <v>FRANCISCO DI LISIO</v>
      </c>
      <c r="R461" t="s">
        <v>1037</v>
      </c>
      <c r="S461" t="s">
        <v>1037</v>
      </c>
      <c r="T461" t="s">
        <v>78</v>
      </c>
      <c r="W461" s="8" t="s">
        <v>977</v>
      </c>
      <c r="X461" s="8" t="s">
        <v>976</v>
      </c>
      <c r="Y461" s="8" t="s">
        <v>246</v>
      </c>
      <c r="Z461" t="str">
        <f t="shared" si="7"/>
        <v>00000464COMPENSABLE SYGSA</v>
      </c>
      <c r="AA461" s="11" t="e">
        <f>MATCH(Tabla9[[#This Row],[AUX]],Loockup_ObrasGerencia[[#All],[aux]],0)</f>
        <v>#N/A</v>
      </c>
    </row>
    <row r="462" spans="1:27" x14ac:dyDescent="0.25">
      <c r="A462" s="30" t="s">
        <v>981</v>
      </c>
      <c r="B462" s="30" t="s">
        <v>980</v>
      </c>
      <c r="C462" s="30" t="s">
        <v>634</v>
      </c>
      <c r="D462" s="30" t="str" cm="1">
        <f t="array" ref="D462">UPPER(_xlfn.XLOOKUP(Loockup_ObrasGerencia[[#This Row],[OBRA_PRONTO]],Tabla7[[#All],[Obra]],Tabla7[[#All],[Gerente de obra]],"Sin Obra Asignada",0))</f>
        <v>FRANCISCO DI LISIO</v>
      </c>
      <c r="E462" s="31" t="str">
        <f>Loockup_ObrasGerencia[[#This Row],[OBRA_PRONTO]]&amp;Loockup_ObrasGerencia[[#This Row],[GERENCIA]]</f>
        <v>00000466FRANCISCO DI LISIO</v>
      </c>
      <c r="H462" t="s">
        <v>1011</v>
      </c>
      <c r="I462" t="s">
        <v>1012</v>
      </c>
      <c r="J462" t="s">
        <v>34</v>
      </c>
      <c r="K462" t="str">
        <f>Tabla7[[#This Row],[Obra]]&amp;Tabla7[[#This Row],[Gerente de obra]]</f>
        <v>00000480Calderon Juan Ignacio</v>
      </c>
      <c r="L462">
        <f>MATCH(Tabla7[[#This Row],[AUX]],Loockup_ObrasGerencia[[#All],[aux]],0)</f>
        <v>475</v>
      </c>
      <c r="O462" t="str">
        <f>UPPER(GERENCIAS[[#This Row],[Gerente de obra]])</f>
        <v>ORTIZ JUAN MANUEL</v>
      </c>
      <c r="R462" t="s">
        <v>1039</v>
      </c>
      <c r="S462" t="s">
        <v>1040</v>
      </c>
      <c r="T462" t="s">
        <v>19</v>
      </c>
      <c r="W462" s="8" t="s">
        <v>979</v>
      </c>
      <c r="X462" s="8" t="s">
        <v>978</v>
      </c>
      <c r="Y462" s="8" t="s">
        <v>17</v>
      </c>
      <c r="Z462" t="str">
        <f t="shared" si="7"/>
        <v>00000465SI</v>
      </c>
      <c r="AA462" s="11" t="e">
        <f>MATCH(Tabla9[[#This Row],[AUX]],Loockup_ObrasGerencia[[#All],[aux]],0)</f>
        <v>#N/A</v>
      </c>
    </row>
    <row r="463" spans="1:27" x14ac:dyDescent="0.25">
      <c r="A463" s="30" t="s">
        <v>983</v>
      </c>
      <c r="B463" s="30" t="s">
        <v>982</v>
      </c>
      <c r="C463" s="30" t="s">
        <v>64</v>
      </c>
      <c r="D463" s="30" t="str" cm="1">
        <f t="array" ref="D463">UPPER(_xlfn.XLOOKUP(Loockup_ObrasGerencia[[#This Row],[OBRA_PRONTO]],Tabla7[[#All],[Obra]],Tabla7[[#All],[Gerente de obra]],"Sin Obra Asignada",0))</f>
        <v>FRANCISCO NAVARRO</v>
      </c>
      <c r="E463" s="31" t="str">
        <f>Loockup_ObrasGerencia[[#This Row],[OBRA_PRONTO]]&amp;Loockup_ObrasGerencia[[#This Row],[GERENCIA]]</f>
        <v>00000467FRANCISCO NAVARRO</v>
      </c>
      <c r="H463" t="s">
        <v>1013</v>
      </c>
      <c r="I463" t="s">
        <v>1014</v>
      </c>
      <c r="J463" t="s">
        <v>1038</v>
      </c>
      <c r="K463" t="str">
        <f>Tabla7[[#This Row],[Obra]]&amp;Tabla7[[#This Row],[Gerente de obra]]</f>
        <v>00000481Oscar Sanchez</v>
      </c>
      <c r="L463">
        <f>MATCH(Tabla7[[#This Row],[AUX]],Loockup_ObrasGerencia[[#All],[aux]],0)</f>
        <v>476</v>
      </c>
      <c r="O463" t="str">
        <f>UPPER(GERENCIAS[[#This Row],[Gerente de obra]])</f>
        <v>BDL</v>
      </c>
      <c r="R463" t="s">
        <v>1041</v>
      </c>
      <c r="S463" t="s">
        <v>1041</v>
      </c>
      <c r="T463" t="s">
        <v>1031</v>
      </c>
      <c r="W463" s="8" t="s">
        <v>981</v>
      </c>
      <c r="X463" s="8" t="s">
        <v>980</v>
      </c>
      <c r="Y463" s="8" t="s">
        <v>634</v>
      </c>
      <c r="Z463" t="str">
        <f t="shared" si="7"/>
        <v>00000466COMPENSABLE GASTOS DE SEDE</v>
      </c>
      <c r="AA463" s="11" t="e">
        <f>MATCH(Tabla9[[#This Row],[AUX]],Loockup_ObrasGerencia[[#All],[aux]],0)</f>
        <v>#N/A</v>
      </c>
    </row>
    <row r="464" spans="1:27" x14ac:dyDescent="0.25">
      <c r="A464" s="30" t="s">
        <v>985</v>
      </c>
      <c r="B464" s="30" t="s">
        <v>984</v>
      </c>
      <c r="C464" s="30" t="s">
        <v>17</v>
      </c>
      <c r="D464" s="30" t="str" cm="1">
        <f t="array" ref="D464">UPPER(_xlfn.XLOOKUP(Loockup_ObrasGerencia[[#This Row],[OBRA_PRONTO]],Tabla7[[#All],[Obra]],Tabla7[[#All],[Gerente de obra]],"Sin Obra Asignada",0))</f>
        <v>FRANCISCO NAVARRO</v>
      </c>
      <c r="E464" s="31" t="str">
        <f>Loockup_ObrasGerencia[[#This Row],[OBRA_PRONTO]]&amp;Loockup_ObrasGerencia[[#This Row],[GERENCIA]]</f>
        <v>00000468FRANCISCO NAVARRO</v>
      </c>
      <c r="H464" t="s">
        <v>1016</v>
      </c>
      <c r="I464" t="s">
        <v>1017</v>
      </c>
      <c r="J464" t="s">
        <v>29</v>
      </c>
      <c r="K464" t="str">
        <f>Tabla7[[#This Row],[Obra]]&amp;Tabla7[[#This Row],[Gerente de obra]]</f>
        <v>00000482Diego Ibañez</v>
      </c>
      <c r="L464">
        <f>MATCH(Tabla7[[#This Row],[AUX]],Loockup_ObrasGerencia[[#All],[aux]],0)</f>
        <v>477</v>
      </c>
      <c r="O464" t="str">
        <f>UPPER(GERENCIAS[[#This Row],[Gerente de obra]])</f>
        <v>BDL</v>
      </c>
      <c r="R464" t="s">
        <v>1042</v>
      </c>
      <c r="S464" t="s">
        <v>1043</v>
      </c>
      <c r="T464" t="s">
        <v>1031</v>
      </c>
      <c r="W464" s="8" t="s">
        <v>983</v>
      </c>
      <c r="X464" s="8" t="s">
        <v>982</v>
      </c>
      <c r="Y464" s="8" t="s">
        <v>64</v>
      </c>
      <c r="Z464" t="str">
        <f t="shared" si="7"/>
        <v>00000467ADMINISTRACION</v>
      </c>
      <c r="AA464" s="11" t="e">
        <f>MATCH(Tabla9[[#This Row],[AUX]],Loockup_ObrasGerencia[[#All],[aux]],0)</f>
        <v>#N/A</v>
      </c>
    </row>
    <row r="465" spans="1:27" x14ac:dyDescent="0.25">
      <c r="A465" s="30" t="s">
        <v>989</v>
      </c>
      <c r="B465" s="30" t="s">
        <v>988</v>
      </c>
      <c r="C465" s="30" t="s">
        <v>952</v>
      </c>
      <c r="D465" s="30" t="str" cm="1">
        <f t="array" ref="D465">UPPER(_xlfn.XLOOKUP(Loockup_ObrasGerencia[[#This Row],[OBRA_PRONTO]],Tabla7[[#All],[Obra]],Tabla7[[#All],[Gerente de obra]],"Sin Obra Asignada",0))</f>
        <v>CALDERON JUAN IGNACIO</v>
      </c>
      <c r="E465" s="31" t="str">
        <f>Loockup_ObrasGerencia[[#This Row],[OBRA_PRONTO]]&amp;Loockup_ObrasGerencia[[#This Row],[GERENCIA]]</f>
        <v>00000470CALDERON JUAN IGNACIO</v>
      </c>
      <c r="H465" t="s">
        <v>1018</v>
      </c>
      <c r="I465" t="s">
        <v>1019</v>
      </c>
      <c r="J465" t="s">
        <v>79</v>
      </c>
      <c r="K465" t="str">
        <f>Tabla7[[#This Row],[Obra]]&amp;Tabla7[[#This Row],[Gerente de obra]]</f>
        <v>00000483Francisco Di Lisio</v>
      </c>
      <c r="L465">
        <f>MATCH(Tabla7[[#This Row],[AUX]],Loockup_ObrasGerencia[[#All],[aux]],0)</f>
        <v>478</v>
      </c>
      <c r="O465" t="str">
        <f>UPPER(GERENCIAS[[#This Row],[Gerente de obra]])</f>
        <v>BDL</v>
      </c>
      <c r="R465" t="s">
        <v>1044</v>
      </c>
      <c r="S465" s="8" t="s">
        <v>1045</v>
      </c>
      <c r="T465" t="s">
        <v>1031</v>
      </c>
      <c r="W465" s="8" t="s">
        <v>985</v>
      </c>
      <c r="X465" s="8" t="s">
        <v>984</v>
      </c>
      <c r="Y465" s="8" t="s">
        <v>17</v>
      </c>
      <c r="Z465" t="str">
        <f t="shared" si="7"/>
        <v>00000468SI</v>
      </c>
      <c r="AA465" s="11" t="e">
        <f>MATCH(Tabla9[[#This Row],[AUX]],Loockup_ObrasGerencia[[#All],[aux]],0)</f>
        <v>#N/A</v>
      </c>
    </row>
    <row r="466" spans="1:27" x14ac:dyDescent="0.25">
      <c r="A466" s="30" t="s">
        <v>991</v>
      </c>
      <c r="B466" s="30" t="s">
        <v>990</v>
      </c>
      <c r="C466" s="30" t="s">
        <v>634</v>
      </c>
      <c r="D466" s="30" t="str" cm="1">
        <f t="array" ref="D466">UPPER(_xlfn.XLOOKUP(Loockup_ObrasGerencia[[#This Row],[OBRA_PRONTO]],Tabla7[[#All],[Obra]],Tabla7[[#All],[Gerente de obra]],"Sin Obra Asignada",0))</f>
        <v>FRANCISCO DI LISIO</v>
      </c>
      <c r="E466" s="31" t="str">
        <f>Loockup_ObrasGerencia[[#This Row],[OBRA_PRONTO]]&amp;Loockup_ObrasGerencia[[#This Row],[GERENCIA]]</f>
        <v>00000471FRANCISCO DI LISIO</v>
      </c>
      <c r="H466" t="s">
        <v>1020</v>
      </c>
      <c r="I466" t="s">
        <v>1021</v>
      </c>
      <c r="J466" t="s">
        <v>271</v>
      </c>
      <c r="K466" t="str">
        <f>Tabla7[[#This Row],[Obra]]&amp;Tabla7[[#This Row],[Gerente de obra]]</f>
        <v>00000484Catriel Gisela</v>
      </c>
      <c r="L466">
        <f>MATCH(Tabla7[[#This Row],[AUX]],Loockup_ObrasGerencia[[#All],[aux]],0)</f>
        <v>479</v>
      </c>
      <c r="O466" t="str">
        <f>UPPER(GERENCIAS[[#This Row],[Gerente de obra]])</f>
        <v>BDL</v>
      </c>
      <c r="R466" t="s">
        <v>1046</v>
      </c>
      <c r="S466" t="s">
        <v>1047</v>
      </c>
      <c r="T466" t="s">
        <v>1031</v>
      </c>
      <c r="W466" s="8" t="s">
        <v>989</v>
      </c>
      <c r="X466" s="8" t="s">
        <v>988</v>
      </c>
      <c r="Y466" s="8" t="s">
        <v>952</v>
      </c>
      <c r="Z466" t="str">
        <f t="shared" si="7"/>
        <v>00000470COMPENSABLE WITT</v>
      </c>
      <c r="AA466" s="11" t="e">
        <f>MATCH(Tabla9[[#This Row],[AUX]],Loockup_ObrasGerencia[[#All],[aux]],0)</f>
        <v>#N/A</v>
      </c>
    </row>
    <row r="467" spans="1:27" x14ac:dyDescent="0.25">
      <c r="A467" s="30" t="s">
        <v>993</v>
      </c>
      <c r="B467" s="30" t="s">
        <v>992</v>
      </c>
      <c r="C467" s="30" t="s">
        <v>287</v>
      </c>
      <c r="D467" s="30" t="str" cm="1">
        <f t="array" ref="D467">UPPER(_xlfn.XLOOKUP(Loockup_ObrasGerencia[[#This Row],[OBRA_PRONTO]],Tabla7[[#All],[Obra]],Tabla7[[#All],[Gerente de obra]],"Sin Obra Asignada",0))</f>
        <v>CALDERON JUAN IGNACIO</v>
      </c>
      <c r="E467" s="31" t="str">
        <f>Loockup_ObrasGerencia[[#This Row],[OBRA_PRONTO]]&amp;Loockup_ObrasGerencia[[#This Row],[GERENCIA]]</f>
        <v>00000472CALDERON JUAN IGNACIO</v>
      </c>
      <c r="H467" t="s">
        <v>1022</v>
      </c>
      <c r="I467" t="s">
        <v>1023</v>
      </c>
      <c r="J467" t="s">
        <v>24</v>
      </c>
      <c r="K467" t="str">
        <f>Tabla7[[#This Row],[Obra]]&amp;Tabla7[[#This Row],[Gerente de obra]]</f>
        <v>00000485Trujillo</v>
      </c>
      <c r="L467">
        <f>MATCH(Tabla7[[#This Row],[AUX]],Loockup_ObrasGerencia[[#All],[aux]],0)</f>
        <v>480</v>
      </c>
      <c r="O467" t="str">
        <f>UPPER(GERENCIAS[[#This Row],[Gerente de obra]])</f>
        <v>BDL</v>
      </c>
      <c r="R467" t="s">
        <v>1048</v>
      </c>
      <c r="S467" t="s">
        <v>1049</v>
      </c>
      <c r="T467" t="s">
        <v>1031</v>
      </c>
      <c r="W467" s="8" t="s">
        <v>993</v>
      </c>
      <c r="X467" s="8" t="s">
        <v>992</v>
      </c>
      <c r="Y467" s="8" t="s">
        <v>287</v>
      </c>
      <c r="Z467" t="str">
        <f t="shared" si="7"/>
        <v>00000472COMPENSABLE WORK PROJECTS</v>
      </c>
      <c r="AA467" s="11" t="e">
        <f>MATCH(Tabla9[[#This Row],[AUX]],Loockup_ObrasGerencia[[#All],[aux]],0)</f>
        <v>#N/A</v>
      </c>
    </row>
    <row r="468" spans="1:27" x14ac:dyDescent="0.25">
      <c r="A468" s="30" t="s">
        <v>996</v>
      </c>
      <c r="B468" s="30" t="s">
        <v>995</v>
      </c>
      <c r="C468" s="30" t="s">
        <v>287</v>
      </c>
      <c r="D468" s="30" t="str" cm="1">
        <f t="array" ref="D468">UPPER(_xlfn.XLOOKUP(Loockup_ObrasGerencia[[#This Row],[OBRA_PRONTO]],Tabla7[[#All],[Obra]],Tabla7[[#All],[Gerente de obra]],"Sin Obra Asignada",0))</f>
        <v>CALDERON JUAN IGNACIO</v>
      </c>
      <c r="E468" s="31" t="str">
        <f>Loockup_ObrasGerencia[[#This Row],[OBRA_PRONTO]]&amp;Loockup_ObrasGerencia[[#This Row],[GERENCIA]]</f>
        <v>00000473CALDERON JUAN IGNACIO</v>
      </c>
      <c r="H468" t="s">
        <v>1024</v>
      </c>
      <c r="I468" t="s">
        <v>1025</v>
      </c>
      <c r="J468" t="s">
        <v>69</v>
      </c>
      <c r="K468" t="str">
        <f>Tabla7[[#This Row],[Obra]]&amp;Tabla7[[#This Row],[Gerente de obra]]</f>
        <v>00000486Metzler Javier</v>
      </c>
      <c r="L468">
        <f>MATCH(Tabla7[[#This Row],[AUX]],Loockup_ObrasGerencia[[#All],[aux]],0)</f>
        <v>481</v>
      </c>
      <c r="O468" t="str">
        <f>UPPER(GERENCIAS[[#This Row],[Gerente de obra]])</f>
        <v>ORTIZ JUAN MANUEL</v>
      </c>
      <c r="R468" t="s">
        <v>1050</v>
      </c>
      <c r="S468" t="s">
        <v>738</v>
      </c>
      <c r="T468" t="s">
        <v>19</v>
      </c>
      <c r="W468" s="8" t="s">
        <v>996</v>
      </c>
      <c r="X468" s="8" t="s">
        <v>995</v>
      </c>
      <c r="Y468" s="8" t="s">
        <v>287</v>
      </c>
      <c r="Z468" t="str">
        <f t="shared" si="7"/>
        <v>00000473COMPENSABLE WORK PROJECTS</v>
      </c>
      <c r="AA468" s="11" t="e">
        <f>MATCH(Tabla9[[#This Row],[AUX]],Loockup_ObrasGerencia[[#All],[aux]],0)</f>
        <v>#N/A</v>
      </c>
    </row>
    <row r="469" spans="1:27" x14ac:dyDescent="0.25">
      <c r="A469" s="30" t="s">
        <v>998</v>
      </c>
      <c r="B469" s="30" t="s">
        <v>997</v>
      </c>
      <c r="C469" s="30" t="s">
        <v>239</v>
      </c>
      <c r="D469" s="30" t="str" cm="1">
        <f t="array" ref="D469">UPPER(_xlfn.XLOOKUP(Loockup_ObrasGerencia[[#This Row],[OBRA_PRONTO]],Tabla7[[#All],[Obra]],Tabla7[[#All],[Gerente de obra]],"Sin Obra Asignada",0))</f>
        <v>DIEGO AGUIRRE</v>
      </c>
      <c r="E469" s="31" t="str">
        <f>Loockup_ObrasGerencia[[#This Row],[OBRA_PRONTO]]&amp;Loockup_ObrasGerencia[[#This Row],[GERENCIA]]</f>
        <v>00000474DIEGO AGUIRRE</v>
      </c>
      <c r="H469" t="s">
        <v>1026</v>
      </c>
      <c r="I469" t="s">
        <v>1027</v>
      </c>
      <c r="J469" t="s">
        <v>69</v>
      </c>
      <c r="K469" t="str">
        <f>Tabla7[[#This Row],[Obra]]&amp;Tabla7[[#This Row],[Gerente de obra]]</f>
        <v>00000487Metzler Javier</v>
      </c>
      <c r="L469">
        <f>MATCH(Tabla7[[#This Row],[AUX]],Loockup_ObrasGerencia[[#All],[aux]],0)</f>
        <v>482</v>
      </c>
      <c r="O469" t="str">
        <f>UPPER(GERENCIAS[[#This Row],[Gerente de obra]])</f>
        <v>BDL</v>
      </c>
      <c r="R469" t="s">
        <v>1053</v>
      </c>
      <c r="S469" t="s">
        <v>1053</v>
      </c>
      <c r="T469" t="s">
        <v>1031</v>
      </c>
      <c r="W469" s="8" t="s">
        <v>998</v>
      </c>
      <c r="X469" s="8" t="s">
        <v>997</v>
      </c>
      <c r="Y469" s="8" t="s">
        <v>239</v>
      </c>
      <c r="Z469" t="str">
        <f t="shared" si="7"/>
        <v>00000474COMPENSABLE CAC</v>
      </c>
      <c r="AA469" s="11" t="e">
        <f>MATCH(Tabla9[[#This Row],[AUX]],Loockup_ObrasGerencia[[#All],[aux]],0)</f>
        <v>#N/A</v>
      </c>
    </row>
    <row r="470" spans="1:27" x14ac:dyDescent="0.25">
      <c r="A470" s="30" t="s">
        <v>1000</v>
      </c>
      <c r="B470" s="30" t="s">
        <v>999</v>
      </c>
      <c r="C470" s="30" t="s">
        <v>17</v>
      </c>
      <c r="D470" s="30" t="str" cm="1">
        <f t="array" ref="D470">UPPER(_xlfn.XLOOKUP(Loockup_ObrasGerencia[[#This Row],[OBRA_PRONTO]],Tabla7[[#All],[Obra]],Tabla7[[#All],[Gerente de obra]],"Sin Obra Asignada",0))</f>
        <v>BARONE ALBERTO</v>
      </c>
      <c r="E470" s="31" t="str">
        <f>Loockup_ObrasGerencia[[#This Row],[OBRA_PRONTO]]&amp;Loockup_ObrasGerencia[[#This Row],[GERENCIA]]</f>
        <v>00000475BARONE ALBERTO</v>
      </c>
      <c r="H470" t="s">
        <v>1028</v>
      </c>
      <c r="I470" t="s">
        <v>1029</v>
      </c>
      <c r="J470" t="s">
        <v>271</v>
      </c>
      <c r="K470" t="str">
        <f>Tabla7[[#This Row],[Obra]]&amp;Tabla7[[#This Row],[Gerente de obra]]</f>
        <v>00000488Catriel Gisela</v>
      </c>
      <c r="L470">
        <f>MATCH(Tabla7[[#This Row],[AUX]],Loockup_ObrasGerencia[[#All],[aux]],0)</f>
        <v>483</v>
      </c>
      <c r="O470" t="str">
        <f>UPPER(GERENCIAS[[#This Row],[Gerente de obra]])</f>
        <v>FRANCISCO DI LISIO</v>
      </c>
      <c r="R470" t="s">
        <v>1056</v>
      </c>
      <c r="S470" t="s">
        <v>1057</v>
      </c>
      <c r="T470" t="s">
        <v>78</v>
      </c>
      <c r="W470" s="8" t="s">
        <v>1000</v>
      </c>
      <c r="X470" s="8" t="s">
        <v>999</v>
      </c>
      <c r="Y470" s="8" t="s">
        <v>17</v>
      </c>
      <c r="Z470" t="str">
        <f t="shared" si="7"/>
        <v>00000475SI</v>
      </c>
      <c r="AA470" s="11" t="e">
        <f>MATCH(Tabla9[[#This Row],[AUX]],Loockup_ObrasGerencia[[#All],[aux]],0)</f>
        <v>#N/A</v>
      </c>
    </row>
    <row r="471" spans="1:27" x14ac:dyDescent="0.25">
      <c r="A471" s="30" t="s">
        <v>1002</v>
      </c>
      <c r="B471" s="30" t="s">
        <v>1001</v>
      </c>
      <c r="C471" s="30" t="s">
        <v>1062</v>
      </c>
      <c r="D471" s="30" t="str" cm="1">
        <f t="array" ref="D471">UPPER(_xlfn.XLOOKUP(Loockup_ObrasGerencia[[#This Row],[OBRA_PRONTO]],Tabla7[[#All],[Obra]],Tabla7[[#All],[Gerente de obra]],"Sin Obra Asignada",0))</f>
        <v>ORTIZ JUAN MANUEL</v>
      </c>
      <c r="E471" s="31" t="str">
        <f>Loockup_ObrasGerencia[[#This Row],[OBRA_PRONTO]]&amp;Loockup_ObrasGerencia[[#This Row],[GERENCIA]]</f>
        <v>00000476ORTIZ JUAN MANUEL</v>
      </c>
      <c r="H471" t="s">
        <v>1051</v>
      </c>
      <c r="I471" t="s">
        <v>1052</v>
      </c>
      <c r="J471" t="s">
        <v>79</v>
      </c>
      <c r="K471" t="str">
        <f>Tabla7[[#This Row],[Obra]]&amp;Tabla7[[#This Row],[Gerente de obra]]</f>
        <v>00000489Francisco Di Lisio</v>
      </c>
      <c r="L471">
        <f>MATCH(Tabla7[[#This Row],[AUX]],Loockup_ObrasGerencia[[#All],[aux]],0)</f>
        <v>484</v>
      </c>
      <c r="O471" t="str">
        <f>UPPER(GERENCIAS[[#This Row],[Gerente de obra]])</f>
        <v>BDL</v>
      </c>
      <c r="R471" t="s">
        <v>1060</v>
      </c>
      <c r="S471" t="s">
        <v>1061</v>
      </c>
      <c r="T471" t="s">
        <v>1031</v>
      </c>
      <c r="W471" s="8" t="s">
        <v>1002</v>
      </c>
      <c r="X471" s="8" t="s">
        <v>1001</v>
      </c>
      <c r="Y471" s="8" t="s">
        <v>1062</v>
      </c>
      <c r="Z471" t="str">
        <f t="shared" si="7"/>
        <v>00000476TALLER</v>
      </c>
      <c r="AA471" s="11" t="e">
        <f>MATCH(Tabla9[[#This Row],[AUX]],Loockup_ObrasGerencia[[#All],[aux]],0)</f>
        <v>#N/A</v>
      </c>
    </row>
    <row r="472" spans="1:27" x14ac:dyDescent="0.25">
      <c r="A472" s="30" t="s">
        <v>1004</v>
      </c>
      <c r="B472" s="30" t="s">
        <v>1003</v>
      </c>
      <c r="C472" s="30" t="s">
        <v>64</v>
      </c>
      <c r="D472" s="30" t="str" cm="1">
        <f t="array" ref="D472">UPPER(_xlfn.XLOOKUP(Loockup_ObrasGerencia[[#This Row],[OBRA_PRONTO]],Tabla7[[#All],[Obra]],Tabla7[[#All],[Gerente de obra]],"Sin Obra Asignada",0))</f>
        <v>FRANCISCO DI LISIO</v>
      </c>
      <c r="E472" s="31" t="str">
        <f>Loockup_ObrasGerencia[[#This Row],[OBRA_PRONTO]]&amp;Loockup_ObrasGerencia[[#This Row],[GERENCIA]]</f>
        <v>00000477FRANCISCO DI LISIO</v>
      </c>
      <c r="H472" t="s">
        <v>1054</v>
      </c>
      <c r="I472" t="s">
        <v>1055</v>
      </c>
      <c r="J472" t="s">
        <v>79</v>
      </c>
      <c r="K472" t="str">
        <f>Tabla7[[#This Row],[Obra]]&amp;Tabla7[[#This Row],[Gerente de obra]]</f>
        <v>00000490Francisco Di Lisio</v>
      </c>
      <c r="L472">
        <f>MATCH(Tabla7[[#This Row],[AUX]],Loockup_ObrasGerencia[[#All],[aux]],0)</f>
        <v>485</v>
      </c>
      <c r="O472" t="str">
        <f>UPPER(GERENCIAS[[#This Row],[Gerente de obra]])</f>
        <v>FRANCISCO DI LISIO</v>
      </c>
      <c r="R472" t="s">
        <v>1065</v>
      </c>
      <c r="S472" t="s">
        <v>701</v>
      </c>
      <c r="T472" t="s">
        <v>78</v>
      </c>
      <c r="W472" s="8" t="s">
        <v>1004</v>
      </c>
      <c r="X472" s="8" t="s">
        <v>1003</v>
      </c>
      <c r="Y472" s="8" t="s">
        <v>64</v>
      </c>
      <c r="Z472" t="str">
        <f t="shared" si="7"/>
        <v>00000477ADMINISTRACION</v>
      </c>
      <c r="AA472" s="11" t="e">
        <f>MATCH(Tabla9[[#This Row],[AUX]],Loockup_ObrasGerencia[[#All],[aux]],0)</f>
        <v>#N/A</v>
      </c>
    </row>
    <row r="473" spans="1:27" x14ac:dyDescent="0.25">
      <c r="A473" s="30" t="s">
        <v>1006</v>
      </c>
      <c r="B473" s="30" t="s">
        <v>1005</v>
      </c>
      <c r="C473" s="30" t="s">
        <v>64</v>
      </c>
      <c r="D473" s="30" t="str" cm="1">
        <f t="array" ref="D473">UPPER(_xlfn.XLOOKUP(Loockup_ObrasGerencia[[#This Row],[OBRA_PRONTO]],Tabla7[[#All],[Obra]],Tabla7[[#All],[Gerente de obra]],"Sin Obra Asignada",0))</f>
        <v>FRANCISCO DI LISIO</v>
      </c>
      <c r="E473" s="31" t="str">
        <f>Loockup_ObrasGerencia[[#This Row],[OBRA_PRONTO]]&amp;Loockup_ObrasGerencia[[#This Row],[GERENCIA]]</f>
        <v>00000478FRANCISCO DI LISIO</v>
      </c>
      <c r="H473" t="s">
        <v>1058</v>
      </c>
      <c r="I473" t="s">
        <v>1059</v>
      </c>
      <c r="J473" t="s">
        <v>79</v>
      </c>
      <c r="K473" t="str">
        <f>Tabla7[[#This Row],[Obra]]&amp;Tabla7[[#This Row],[Gerente de obra]]</f>
        <v>00000491Francisco Di Lisio</v>
      </c>
      <c r="L473">
        <f>MATCH(Tabla7[[#This Row],[AUX]],Loockup_ObrasGerencia[[#All],[aux]],0)</f>
        <v>486</v>
      </c>
      <c r="O473" t="str">
        <f>UPPER(GERENCIAS[[#This Row],[Gerente de obra]])</f>
        <v>BDL</v>
      </c>
      <c r="R473" t="s">
        <v>1068</v>
      </c>
      <c r="S473" t="s">
        <v>1069</v>
      </c>
      <c r="T473" t="s">
        <v>1031</v>
      </c>
      <c r="W473" s="8" t="s">
        <v>1006</v>
      </c>
      <c r="X473" s="8" t="s">
        <v>1005</v>
      </c>
      <c r="Y473" s="8" t="s">
        <v>64</v>
      </c>
      <c r="Z473" t="str">
        <f t="shared" si="7"/>
        <v>00000478ADMINISTRACION</v>
      </c>
      <c r="AA473" s="11" t="e">
        <f>MATCH(Tabla9[[#This Row],[AUX]],Loockup_ObrasGerencia[[#All],[aux]],0)</f>
        <v>#N/A</v>
      </c>
    </row>
    <row r="474" spans="1:27" x14ac:dyDescent="0.25">
      <c r="A474" s="30" t="s">
        <v>1073</v>
      </c>
      <c r="B474" s="30" t="s">
        <v>1009</v>
      </c>
      <c r="C474" s="30" t="s">
        <v>64</v>
      </c>
      <c r="D474" s="30" t="str" cm="1">
        <f t="array" ref="D474">UPPER(_xlfn.XLOOKUP(Loockup_ObrasGerencia[[#This Row],[OBRA_PRONTO]],Tabla7[[#All],[Obra]],Tabla7[[#All],[Gerente de obra]],"Sin Obra Asignada",0))</f>
        <v>CATRIEL GISELA</v>
      </c>
      <c r="E474" s="31" t="str">
        <f>Loockup_ObrasGerencia[[#This Row],[OBRA_PRONTO]]&amp;Loockup_ObrasGerencia[[#This Row],[GERENCIA]]</f>
        <v>00000479CATRIEL GISELA</v>
      </c>
      <c r="H474" t="s">
        <v>1063</v>
      </c>
      <c r="I474" t="s">
        <v>1064</v>
      </c>
      <c r="J474" t="s">
        <v>79</v>
      </c>
      <c r="K474" t="str">
        <f>Tabla7[[#This Row],[Obra]]&amp;Tabla7[[#This Row],[Gerente de obra]]</f>
        <v>00000492Francisco Di Lisio</v>
      </c>
      <c r="L474">
        <f>MATCH(Tabla7[[#This Row],[AUX]],Loockup_ObrasGerencia[[#All],[aux]],0)</f>
        <v>487</v>
      </c>
      <c r="O474" t="str">
        <f>UPPER(GERENCIAS[[#This Row],[Gerente de obra]])</f>
        <v>BDL</v>
      </c>
      <c r="R474" t="s">
        <v>1072</v>
      </c>
      <c r="S474" t="s">
        <v>1072</v>
      </c>
      <c r="T474" t="s">
        <v>1031</v>
      </c>
      <c r="W474" s="8" t="s">
        <v>1073</v>
      </c>
      <c r="X474" s="8" t="s">
        <v>1009</v>
      </c>
      <c r="Y474" s="8" t="s">
        <v>64</v>
      </c>
      <c r="Z474" t="str">
        <f t="shared" si="7"/>
        <v>00000479ADMINISTRACION</v>
      </c>
      <c r="AA474" s="11" t="e">
        <f>MATCH(Tabla9[[#This Row],[AUX]],Loockup_ObrasGerencia[[#All],[aux]],0)</f>
        <v>#N/A</v>
      </c>
    </row>
    <row r="475" spans="1:27" x14ac:dyDescent="0.25">
      <c r="A475" s="30" t="s">
        <v>1012</v>
      </c>
      <c r="B475" s="30" t="s">
        <v>1011</v>
      </c>
      <c r="C475" s="30" t="s">
        <v>952</v>
      </c>
      <c r="D475" s="30" t="str" cm="1">
        <f t="array" ref="D475">UPPER(_xlfn.XLOOKUP(Loockup_ObrasGerencia[[#This Row],[OBRA_PRONTO]],Tabla7[[#All],[Obra]],Tabla7[[#All],[Gerente de obra]],"Sin Obra Asignada",0))</f>
        <v>CALDERON JUAN IGNACIO</v>
      </c>
      <c r="E475" s="31" t="str">
        <f>Loockup_ObrasGerencia[[#This Row],[OBRA_PRONTO]]&amp;Loockup_ObrasGerencia[[#This Row],[GERENCIA]]</f>
        <v>00000480CALDERON JUAN IGNACIO</v>
      </c>
      <c r="H475" t="s">
        <v>1066</v>
      </c>
      <c r="I475" t="s">
        <v>1067</v>
      </c>
      <c r="J475" t="s">
        <v>18</v>
      </c>
      <c r="K475" t="str">
        <f>Tabla7[[#This Row],[Obra]]&amp;Tabla7[[#This Row],[Gerente de obra]]</f>
        <v>00000493Ortiz Juan Manuel</v>
      </c>
      <c r="L475">
        <f>MATCH(Tabla7[[#This Row],[AUX]],Loockup_ObrasGerencia[[#All],[aux]],0)</f>
        <v>488</v>
      </c>
      <c r="O475" t="str">
        <f>UPPER(GERENCIAS[[#This Row],[Gerente de obra]])</f>
        <v>CATRIEL GISELA</v>
      </c>
      <c r="R475" t="s">
        <v>243</v>
      </c>
      <c r="S475" t="s">
        <v>243</v>
      </c>
      <c r="T475" t="s">
        <v>243</v>
      </c>
      <c r="W475" s="8" t="s">
        <v>1012</v>
      </c>
      <c r="X475" s="8" t="s">
        <v>1011</v>
      </c>
      <c r="Y475" s="8" t="s">
        <v>952</v>
      </c>
      <c r="Z475" t="str">
        <f t="shared" si="7"/>
        <v>00000480COMPENSABLE WITT</v>
      </c>
      <c r="AA475" s="11" t="e">
        <f>MATCH(Tabla9[[#This Row],[AUX]],Loockup_ObrasGerencia[[#All],[aux]],0)</f>
        <v>#N/A</v>
      </c>
    </row>
    <row r="476" spans="1:27" x14ac:dyDescent="0.25">
      <c r="A476" s="30" t="s">
        <v>1014</v>
      </c>
      <c r="B476" s="30" t="s">
        <v>1013</v>
      </c>
      <c r="C476" s="30" t="s">
        <v>17</v>
      </c>
      <c r="D476" s="30" t="str" cm="1">
        <f t="array" ref="D476">UPPER(_xlfn.XLOOKUP(Loockup_ObrasGerencia[[#This Row],[OBRA_PRONTO]],Tabla7[[#All],[Obra]],Tabla7[[#All],[Gerente de obra]],"Sin Obra Asignada",0))</f>
        <v>OSCAR SANCHEZ</v>
      </c>
      <c r="E476" s="31" t="str">
        <f>Loockup_ObrasGerencia[[#This Row],[OBRA_PRONTO]]&amp;Loockup_ObrasGerencia[[#This Row],[GERENCIA]]</f>
        <v>00000481OSCAR SANCHEZ</v>
      </c>
      <c r="H476" t="s">
        <v>1070</v>
      </c>
      <c r="I476" t="s">
        <v>1071</v>
      </c>
      <c r="J476" t="s">
        <v>973</v>
      </c>
      <c r="K476" t="str">
        <f>Tabla7[[#This Row],[Obra]]&amp;Tabla7[[#This Row],[Gerente de obra]]</f>
        <v>00000494Joaquin Serna</v>
      </c>
      <c r="L476">
        <f>MATCH(Tabla7[[#This Row],[AUX]],Loockup_ObrasGerencia[[#All],[aux]],0)</f>
        <v>489</v>
      </c>
      <c r="O476" t="str">
        <f>UPPER(GERENCIAS[[#This Row],[Gerente de obra]])</f>
        <v>BDL</v>
      </c>
      <c r="R476" t="s">
        <v>1078</v>
      </c>
      <c r="S476" t="s">
        <v>1079</v>
      </c>
      <c r="T476" t="s">
        <v>1031</v>
      </c>
      <c r="W476" s="8" t="s">
        <v>1014</v>
      </c>
      <c r="X476" s="8" t="s">
        <v>1013</v>
      </c>
      <c r="Y476" s="8" t="s">
        <v>17</v>
      </c>
      <c r="Z476" t="str">
        <f t="shared" si="7"/>
        <v>00000481SI</v>
      </c>
      <c r="AA476" s="11" t="e">
        <f>MATCH(Tabla9[[#This Row],[AUX]],Loockup_ObrasGerencia[[#All],[aux]],0)</f>
        <v>#N/A</v>
      </c>
    </row>
    <row r="477" spans="1:27" x14ac:dyDescent="0.25">
      <c r="A477" s="30" t="s">
        <v>1017</v>
      </c>
      <c r="B477" s="30" t="s">
        <v>1016</v>
      </c>
      <c r="C477" s="30" t="s">
        <v>28</v>
      </c>
      <c r="D477" s="30" t="str" cm="1">
        <f t="array" ref="D477">UPPER(_xlfn.XLOOKUP(Loockup_ObrasGerencia[[#This Row],[OBRA_PRONTO]],Tabla7[[#All],[Obra]],Tabla7[[#All],[Gerente de obra]],"Sin Obra Asignada",0))</f>
        <v>DIEGO IBAÑEZ</v>
      </c>
      <c r="E477" s="31" t="str">
        <f>Loockup_ObrasGerencia[[#This Row],[OBRA_PRONTO]]&amp;Loockup_ObrasGerencia[[#This Row],[GERENCIA]]</f>
        <v>00000482DIEGO IBAÑEZ</v>
      </c>
      <c r="H477" t="s">
        <v>1074</v>
      </c>
      <c r="I477" t="s">
        <v>1075</v>
      </c>
      <c r="J477" t="s">
        <v>79</v>
      </c>
      <c r="K477" t="str">
        <f>Tabla7[[#This Row],[Obra]]&amp;Tabla7[[#This Row],[Gerente de obra]]</f>
        <v>00000495Francisco Di Lisio</v>
      </c>
      <c r="L477">
        <f>MATCH(Tabla7[[#This Row],[AUX]],Loockup_ObrasGerencia[[#All],[aux]],0)</f>
        <v>490</v>
      </c>
      <c r="O477" t="str">
        <f>UPPER(GERENCIAS[[#This Row],[Gerente de obra]])</f>
        <v>BDL</v>
      </c>
      <c r="R477" t="s">
        <v>1082</v>
      </c>
      <c r="S477" t="s">
        <v>1082</v>
      </c>
      <c r="T477" t="s">
        <v>1031</v>
      </c>
      <c r="W477" s="8" t="s">
        <v>1017</v>
      </c>
      <c r="X477" s="8" t="s">
        <v>1016</v>
      </c>
      <c r="Y477" s="8" t="s">
        <v>28</v>
      </c>
      <c r="Z477" t="str">
        <f t="shared" si="7"/>
        <v>00000482COMPENSABLE TALLER</v>
      </c>
      <c r="AA477" s="11" t="e">
        <f>MATCH(Tabla9[[#This Row],[AUX]],Loockup_ObrasGerencia[[#All],[aux]],0)</f>
        <v>#N/A</v>
      </c>
    </row>
    <row r="478" spans="1:27" x14ac:dyDescent="0.25">
      <c r="A478" s="30" t="s">
        <v>1019</v>
      </c>
      <c r="B478" s="30" t="s">
        <v>1018</v>
      </c>
      <c r="C478" s="30" t="s">
        <v>267</v>
      </c>
      <c r="D478" s="30" t="str" cm="1">
        <f t="array" ref="D478">UPPER(_xlfn.XLOOKUP(Loockup_ObrasGerencia[[#This Row],[OBRA_PRONTO]],Tabla7[[#All],[Obra]],Tabla7[[#All],[Gerente de obra]],"Sin Obra Asignada",0))</f>
        <v>FRANCISCO DI LISIO</v>
      </c>
      <c r="E478" s="31" t="str">
        <f>Loockup_ObrasGerencia[[#This Row],[OBRA_PRONTO]]&amp;Loockup_ObrasGerencia[[#This Row],[GERENCIA]]</f>
        <v>00000483FRANCISCO DI LISIO</v>
      </c>
      <c r="H478" t="s">
        <v>1076</v>
      </c>
      <c r="I478" t="s">
        <v>1077</v>
      </c>
      <c r="J478" t="s">
        <v>271</v>
      </c>
      <c r="K478" t="str">
        <f>Tabla7[[#This Row],[Obra]]&amp;Tabla7[[#This Row],[Gerente de obra]]</f>
        <v>00000496Catriel Gisela</v>
      </c>
      <c r="L478">
        <f>MATCH(Tabla7[[#This Row],[AUX]],Loockup_ObrasGerencia[[#All],[aux]],0)</f>
        <v>491</v>
      </c>
      <c r="O478" t="str">
        <f>UPPER(GERENCIAS[[#This Row],[Gerente de obra]])</f>
        <v>BDL</v>
      </c>
      <c r="R478" t="s">
        <v>1085</v>
      </c>
      <c r="S478" t="s">
        <v>1086</v>
      </c>
      <c r="T478" t="s">
        <v>1031</v>
      </c>
      <c r="W478" s="8" t="s">
        <v>1019</v>
      </c>
      <c r="X478" s="8" t="s">
        <v>1018</v>
      </c>
      <c r="Y478" s="8" t="s">
        <v>17</v>
      </c>
      <c r="Z478" t="str">
        <f t="shared" si="7"/>
        <v>00000483SI</v>
      </c>
      <c r="AA478" s="11" t="e">
        <f>MATCH(Tabla9[[#This Row],[AUX]],Loockup_ObrasGerencia[[#All],[aux]],0)</f>
        <v>#N/A</v>
      </c>
    </row>
    <row r="479" spans="1:27" x14ac:dyDescent="0.25">
      <c r="A479" s="30" t="s">
        <v>1021</v>
      </c>
      <c r="B479" s="30" t="s">
        <v>1020</v>
      </c>
      <c r="C479" s="30" t="s">
        <v>64</v>
      </c>
      <c r="D479" s="30" t="str" cm="1">
        <f t="array" ref="D479">UPPER(_xlfn.XLOOKUP(Loockup_ObrasGerencia[[#This Row],[OBRA_PRONTO]],Tabla7[[#All],[Obra]],Tabla7[[#All],[Gerente de obra]],"Sin Obra Asignada",0))</f>
        <v>CATRIEL GISELA</v>
      </c>
      <c r="E479" s="31" t="str">
        <f>Loockup_ObrasGerencia[[#This Row],[OBRA_PRONTO]]&amp;Loockup_ObrasGerencia[[#This Row],[GERENCIA]]</f>
        <v>00000484CATRIEL GISELA</v>
      </c>
      <c r="H479" t="s">
        <v>1080</v>
      </c>
      <c r="I479" t="s">
        <v>1081</v>
      </c>
      <c r="J479" t="s">
        <v>79</v>
      </c>
      <c r="K479" t="str">
        <f>Tabla7[[#This Row],[Obra]]&amp;Tabla7[[#This Row],[Gerente de obra]]</f>
        <v>00000497Francisco Di Lisio</v>
      </c>
      <c r="L479">
        <f>MATCH(Tabla7[[#This Row],[AUX]],Loockup_ObrasGerencia[[#All],[aux]],0)</f>
        <v>492</v>
      </c>
      <c r="O479" t="str">
        <f>UPPER(GERENCIAS[[#This Row],[Gerente de obra]])</f>
        <v>BDL</v>
      </c>
      <c r="R479" t="s">
        <v>1087</v>
      </c>
      <c r="S479" t="s">
        <v>1088</v>
      </c>
      <c r="T479" t="s">
        <v>1031</v>
      </c>
      <c r="W479" s="8" t="s">
        <v>1021</v>
      </c>
      <c r="X479" s="8" t="s">
        <v>1020</v>
      </c>
      <c r="Y479" s="8" t="s">
        <v>64</v>
      </c>
      <c r="Z479" t="str">
        <f t="shared" si="7"/>
        <v>00000484ADMINISTRACION</v>
      </c>
      <c r="AA479" s="11" t="e">
        <f>MATCH(Tabla9[[#This Row],[AUX]],Loockup_ObrasGerencia[[#All],[aux]],0)</f>
        <v>#N/A</v>
      </c>
    </row>
    <row r="480" spans="1:27" x14ac:dyDescent="0.25">
      <c r="A480" s="30" t="s">
        <v>1023</v>
      </c>
      <c r="B480" s="30" t="s">
        <v>1022</v>
      </c>
      <c r="C480" s="30" t="s">
        <v>17</v>
      </c>
      <c r="D480" s="30" t="str" cm="1">
        <f t="array" ref="D480">UPPER(_xlfn.XLOOKUP(Loockup_ObrasGerencia[[#This Row],[OBRA_PRONTO]],Tabla7[[#All],[Obra]],Tabla7[[#All],[Gerente de obra]],"Sin Obra Asignada",0))</f>
        <v>TRUJILLO</v>
      </c>
      <c r="E480" s="31" t="str">
        <f>Loockup_ObrasGerencia[[#This Row],[OBRA_PRONTO]]&amp;Loockup_ObrasGerencia[[#This Row],[GERENCIA]]</f>
        <v>00000485TRUJILLO</v>
      </c>
      <c r="H480" t="s">
        <v>1083</v>
      </c>
      <c r="I480" t="s">
        <v>1084</v>
      </c>
      <c r="J480" t="s">
        <v>945</v>
      </c>
      <c r="K480" t="str">
        <f>Tabla7[[#This Row],[Obra]]&amp;Tabla7[[#This Row],[Gerente de obra]]</f>
        <v>00000498Francisco Navarro</v>
      </c>
      <c r="L480">
        <f>MATCH(Tabla7[[#This Row],[AUX]],Loockup_ObrasGerencia[[#All],[aux]],0)</f>
        <v>493</v>
      </c>
      <c r="O480" t="str">
        <f>UPPER(GERENCIAS[[#This Row],[Gerente de obra]])</f>
        <v>BDL</v>
      </c>
      <c r="R480" t="s">
        <v>1089</v>
      </c>
      <c r="S480" t="s">
        <v>1090</v>
      </c>
      <c r="T480" t="s">
        <v>1031</v>
      </c>
      <c r="W480" s="8" t="s">
        <v>1023</v>
      </c>
      <c r="X480" s="8" t="s">
        <v>1022</v>
      </c>
      <c r="Y480" s="8" t="s">
        <v>17</v>
      </c>
      <c r="Z480" t="str">
        <f t="shared" si="7"/>
        <v>00000485SI</v>
      </c>
      <c r="AA480" s="11" t="e">
        <f>MATCH(Tabla9[[#This Row],[AUX]],Loockup_ObrasGerencia[[#All],[aux]],0)</f>
        <v>#N/A</v>
      </c>
    </row>
    <row r="481" spans="1:27" x14ac:dyDescent="0.25">
      <c r="A481" s="30" t="s">
        <v>1025</v>
      </c>
      <c r="B481" s="30" t="s">
        <v>1024</v>
      </c>
      <c r="C481" s="30" t="s">
        <v>17</v>
      </c>
      <c r="D481" s="30" t="str" cm="1">
        <f t="array" ref="D481">UPPER(_xlfn.XLOOKUP(Loockup_ObrasGerencia[[#This Row],[OBRA_PRONTO]],Tabla7[[#All],[Obra]],Tabla7[[#All],[Gerente de obra]],"Sin Obra Asignada",0))</f>
        <v>METZLER JAVIER</v>
      </c>
      <c r="E481" s="31" t="str">
        <f>Loockup_ObrasGerencia[[#This Row],[OBRA_PRONTO]]&amp;Loockup_ObrasGerencia[[#This Row],[GERENCIA]]</f>
        <v>00000486METZLER JAVIER</v>
      </c>
      <c r="H481" t="s">
        <v>1030</v>
      </c>
      <c r="I481" t="s">
        <v>1030</v>
      </c>
      <c r="J481" t="s">
        <v>1031</v>
      </c>
      <c r="K481" t="str">
        <f>Tabla7[[#This Row],[Obra]]&amp;Tabla7[[#This Row],[Gerente de obra]]</f>
        <v>A.C.A.R.ABDL</v>
      </c>
      <c r="L481">
        <f>MATCH(Tabla7[[#This Row],[AUX]],Loockup_ObrasGerencia[[#All],[aux]],0)</f>
        <v>495</v>
      </c>
      <c r="O481" t="str">
        <f>UPPER(GERENCIAS[[#This Row],[Gerente de obra]])</f>
        <v>FRANCISCO DI LISIO</v>
      </c>
      <c r="R481" t="s">
        <v>1091</v>
      </c>
      <c r="S481" t="s">
        <v>1091</v>
      </c>
      <c r="T481" t="s">
        <v>78</v>
      </c>
      <c r="W481" s="8" t="s">
        <v>1025</v>
      </c>
      <c r="X481" s="8" t="s">
        <v>1024</v>
      </c>
      <c r="Y481" s="8" t="s">
        <v>17</v>
      </c>
      <c r="Z481" t="str">
        <f t="shared" si="7"/>
        <v>00000486SI</v>
      </c>
      <c r="AA481" s="11" t="e">
        <f>MATCH(Tabla9[[#This Row],[AUX]],Loockup_ObrasGerencia[[#All],[aux]],0)</f>
        <v>#N/A</v>
      </c>
    </row>
    <row r="482" spans="1:27" x14ac:dyDescent="0.25">
      <c r="A482" s="30" t="s">
        <v>1027</v>
      </c>
      <c r="B482" s="30" t="s">
        <v>1026</v>
      </c>
      <c r="C482" s="30" t="s">
        <v>64</v>
      </c>
      <c r="D482" s="30" t="str" cm="1">
        <f t="array" ref="D482">UPPER(_xlfn.XLOOKUP(Loockup_ObrasGerencia[[#This Row],[OBRA_PRONTO]],Tabla7[[#All],[Obra]],Tabla7[[#All],[Gerente de obra]],"Sin Obra Asignada",0))</f>
        <v>METZLER JAVIER</v>
      </c>
      <c r="E482" s="31" t="str">
        <f>Loockup_ObrasGerencia[[#This Row],[OBRA_PRONTO]]&amp;Loockup_ObrasGerencia[[#This Row],[GERENCIA]]</f>
        <v>00000487METZLER JAVIER</v>
      </c>
      <c r="H482" t="s">
        <v>1032</v>
      </c>
      <c r="I482" t="s">
        <v>1033</v>
      </c>
      <c r="J482" t="s">
        <v>1031</v>
      </c>
      <c r="K482" t="str">
        <f>Tabla7[[#This Row],[Obra]]&amp;Tabla7[[#This Row],[Gerente de obra]]</f>
        <v>ACCESO GENELBBDL</v>
      </c>
      <c r="L482">
        <f>MATCH(Tabla7[[#This Row],[AUX]],Loockup_ObrasGerencia[[#All],[aux]],0)</f>
        <v>496</v>
      </c>
      <c r="O482" t="str">
        <f>UPPER(GERENCIAS[[#This Row],[Gerente de obra]])</f>
        <v>BDL</v>
      </c>
      <c r="R482" t="s">
        <v>1092</v>
      </c>
      <c r="S482" t="s">
        <v>1092</v>
      </c>
      <c r="T482" t="s">
        <v>1031</v>
      </c>
      <c r="W482" s="8" t="s">
        <v>1027</v>
      </c>
      <c r="X482" s="8" t="s">
        <v>1026</v>
      </c>
      <c r="Y482" s="8" t="s">
        <v>64</v>
      </c>
      <c r="Z482" t="str">
        <f t="shared" si="7"/>
        <v>00000487ADMINISTRACION</v>
      </c>
      <c r="AA482" s="11" t="e">
        <f>MATCH(Tabla9[[#This Row],[AUX]],Loockup_ObrasGerencia[[#All],[aux]],0)</f>
        <v>#N/A</v>
      </c>
    </row>
    <row r="483" spans="1:27" x14ac:dyDescent="0.25">
      <c r="A483" s="30" t="s">
        <v>1029</v>
      </c>
      <c r="B483" s="30" t="s">
        <v>1028</v>
      </c>
      <c r="C483" s="30" t="s">
        <v>64</v>
      </c>
      <c r="D483" s="30" t="str" cm="1">
        <f t="array" ref="D483">UPPER(_xlfn.XLOOKUP(Loockup_ObrasGerencia[[#This Row],[OBRA_PRONTO]],Tabla7[[#All],[Obra]],Tabla7[[#All],[Gerente de obra]],"Sin Obra Asignada",0))</f>
        <v>CATRIEL GISELA</v>
      </c>
      <c r="E483" s="31" t="str">
        <f>Loockup_ObrasGerencia[[#This Row],[OBRA_PRONTO]]&amp;Loockup_ObrasGerencia[[#This Row],[GERENCIA]]</f>
        <v>00000488CATRIEL GISELA</v>
      </c>
      <c r="H483" t="s">
        <v>1034</v>
      </c>
      <c r="I483" t="s">
        <v>1034</v>
      </c>
      <c r="J483" t="s">
        <v>79</v>
      </c>
      <c r="K483" t="str">
        <f>Tabla7[[#This Row],[Obra]]&amp;Tabla7[[#This Row],[Gerente de obra]]</f>
        <v>ACOPIOFrancisco Di Lisio</v>
      </c>
      <c r="L483">
        <f>MATCH(Tabla7[[#This Row],[AUX]],Loockup_ObrasGerencia[[#All],[aux]],0)</f>
        <v>497</v>
      </c>
      <c r="O483" t="str">
        <f>UPPER(GERENCIAS[[#This Row],[Gerente de obra]])</f>
        <v>BDL</v>
      </c>
      <c r="R483" t="s">
        <v>1093</v>
      </c>
      <c r="S483" t="s">
        <v>1094</v>
      </c>
      <c r="T483" t="s">
        <v>1031</v>
      </c>
      <c r="W483" s="8" t="s">
        <v>1029</v>
      </c>
      <c r="X483" s="8" t="s">
        <v>1028</v>
      </c>
      <c r="Y483" s="8" t="s">
        <v>64</v>
      </c>
      <c r="Z483" t="str">
        <f t="shared" si="7"/>
        <v>00000488ADMINISTRACION</v>
      </c>
      <c r="AA483" s="11" t="e">
        <f>MATCH(Tabla9[[#This Row],[AUX]],Loockup_ObrasGerencia[[#All],[aux]],0)</f>
        <v>#N/A</v>
      </c>
    </row>
    <row r="484" spans="1:27" x14ac:dyDescent="0.25">
      <c r="A484" s="30" t="s">
        <v>1052</v>
      </c>
      <c r="B484" s="30" t="s">
        <v>1051</v>
      </c>
      <c r="C484" s="30" t="s">
        <v>1097</v>
      </c>
      <c r="D484" s="30" t="str" cm="1">
        <f t="array" ref="D484">UPPER(_xlfn.XLOOKUP(Loockup_ObrasGerencia[[#This Row],[OBRA_PRONTO]],Tabla7[[#All],[Obra]],Tabla7[[#All],[Gerente de obra]],"Sin Obra Asignada",0))</f>
        <v>FRANCISCO DI LISIO</v>
      </c>
      <c r="E484" s="31" t="str">
        <f>Loockup_ObrasGerencia[[#This Row],[OBRA_PRONTO]]&amp;Loockup_ObrasGerencia[[#This Row],[GERENCIA]]</f>
        <v>00000489FRANCISCO DI LISIO</v>
      </c>
      <c r="H484" t="s">
        <v>669</v>
      </c>
      <c r="I484" t="s">
        <v>669</v>
      </c>
      <c r="J484" t="s">
        <v>79</v>
      </c>
      <c r="K484" t="str">
        <f>Tabla7[[#This Row],[Obra]]&amp;Tabla7[[#This Row],[Gerente de obra]]</f>
        <v>ACTIVOS PERONFrancisco Di Lisio</v>
      </c>
      <c r="L484" t="e">
        <f>MATCH(Tabla7[[#This Row],[AUX]],Loockup_ObrasGerencia[[#All],[aux]],0)</f>
        <v>#N/A</v>
      </c>
      <c r="O484" t="str">
        <f>UPPER(GERENCIAS[[#This Row],[Gerente de obra]])</f>
        <v>BDL</v>
      </c>
      <c r="R484" t="s">
        <v>1095</v>
      </c>
      <c r="S484" t="s">
        <v>1096</v>
      </c>
      <c r="T484" t="s">
        <v>1031</v>
      </c>
      <c r="W484" s="8" t="s">
        <v>1052</v>
      </c>
      <c r="X484" s="8" t="s">
        <v>1051</v>
      </c>
      <c r="Y484" s="8" t="s">
        <v>270</v>
      </c>
      <c r="Z484" t="str">
        <f t="shared" si="7"/>
        <v>00000489ACTIVOS</v>
      </c>
      <c r="AA484" s="11" t="e">
        <f>MATCH(Tabla9[[#This Row],[AUX]],Loockup_ObrasGerencia[[#All],[aux]],0)</f>
        <v>#N/A</v>
      </c>
    </row>
    <row r="485" spans="1:27" x14ac:dyDescent="0.25">
      <c r="A485" s="30" t="s">
        <v>1055</v>
      </c>
      <c r="B485" s="30" t="s">
        <v>1054</v>
      </c>
      <c r="C485" s="30" t="s">
        <v>1097</v>
      </c>
      <c r="D485" s="30" t="str" cm="1">
        <f t="array" ref="D485">UPPER(_xlfn.XLOOKUP(Loockup_ObrasGerencia[[#This Row],[OBRA_PRONTO]],Tabla7[[#All],[Obra]],Tabla7[[#All],[Gerente de obra]],"Sin Obra Asignada",0))</f>
        <v>FRANCISCO DI LISIO</v>
      </c>
      <c r="E485" s="31" t="str">
        <f>Loockup_ObrasGerencia[[#This Row],[OBRA_PRONTO]]&amp;Loockup_ObrasGerencia[[#This Row],[GERENCIA]]</f>
        <v>00000490FRANCISCO DI LISIO</v>
      </c>
      <c r="H485" t="s">
        <v>1035</v>
      </c>
      <c r="I485" t="s">
        <v>1036</v>
      </c>
      <c r="J485" t="s">
        <v>1031</v>
      </c>
      <c r="K485" t="str">
        <f>Tabla7[[#This Row],[Obra]]&amp;Tabla7[[#This Row],[Gerente de obra]]</f>
        <v>ADIF ANDENES BDL</v>
      </c>
      <c r="L485" t="e">
        <f>MATCH(Tabla7[[#This Row],[AUX]],Loockup_ObrasGerencia[[#All],[aux]],0)</f>
        <v>#N/A</v>
      </c>
      <c r="O485" t="str">
        <f>UPPER(GERENCIAS[[#This Row],[Gerente de obra]])</f>
        <v>BDL</v>
      </c>
      <c r="R485" t="s">
        <v>1098</v>
      </c>
      <c r="S485" t="s">
        <v>1099</v>
      </c>
      <c r="T485" t="s">
        <v>1031</v>
      </c>
      <c r="W485" s="8" t="s">
        <v>1055</v>
      </c>
      <c r="X485" s="8" t="s">
        <v>1054</v>
      </c>
      <c r="Y485" s="8" t="s">
        <v>270</v>
      </c>
      <c r="Z485" t="str">
        <f t="shared" si="7"/>
        <v>00000490ACTIVOS</v>
      </c>
      <c r="AA485" s="11" t="e">
        <f>MATCH(Tabla9[[#This Row],[AUX]],Loockup_ObrasGerencia[[#All],[aux]],0)</f>
        <v>#N/A</v>
      </c>
    </row>
    <row r="486" spans="1:27" x14ac:dyDescent="0.25">
      <c r="A486" s="30" t="s">
        <v>1059</v>
      </c>
      <c r="B486" s="30" t="s">
        <v>1058</v>
      </c>
      <c r="C486" s="30" t="s">
        <v>1097</v>
      </c>
      <c r="D486" s="30" t="str" cm="1">
        <f t="array" ref="D486">UPPER(_xlfn.XLOOKUP(Loockup_ObrasGerencia[[#This Row],[OBRA_PRONTO]],Tabla7[[#All],[Obra]],Tabla7[[#All],[Gerente de obra]],"Sin Obra Asignada",0))</f>
        <v>FRANCISCO DI LISIO</v>
      </c>
      <c r="E486" s="31" t="str">
        <f>Loockup_ObrasGerencia[[#This Row],[OBRA_PRONTO]]&amp;Loockup_ObrasGerencia[[#This Row],[GERENCIA]]</f>
        <v>00000491FRANCISCO DI LISIO</v>
      </c>
      <c r="H486" t="s">
        <v>1037</v>
      </c>
      <c r="I486" t="s">
        <v>1037</v>
      </c>
      <c r="J486" t="s">
        <v>79</v>
      </c>
      <c r="K486" t="str">
        <f>Tabla7[[#This Row],[Obra]]&amp;Tabla7[[#This Row],[Gerente de obra]]</f>
        <v>ADIF MODULOSFrancisco Di Lisio</v>
      </c>
      <c r="L486">
        <f>MATCH(Tabla7[[#This Row],[AUX]],Loockup_ObrasGerencia[[#All],[aux]],0)</f>
        <v>500</v>
      </c>
      <c r="O486" t="str">
        <f>UPPER(GERENCIAS[[#This Row],[Gerente de obra]])</f>
        <v>BDL</v>
      </c>
      <c r="R486" t="s">
        <v>1100</v>
      </c>
      <c r="S486" t="s">
        <v>1101</v>
      </c>
      <c r="T486" t="s">
        <v>1031</v>
      </c>
      <c r="W486" s="8" t="s">
        <v>1059</v>
      </c>
      <c r="X486" s="8" t="s">
        <v>1058</v>
      </c>
      <c r="Y486" s="8" t="s">
        <v>270</v>
      </c>
      <c r="Z486" t="str">
        <f t="shared" si="7"/>
        <v>00000491ACTIVOS</v>
      </c>
      <c r="AA486" s="11" t="e">
        <f>MATCH(Tabla9[[#This Row],[AUX]],Loockup_ObrasGerencia[[#All],[aux]],0)</f>
        <v>#N/A</v>
      </c>
    </row>
    <row r="487" spans="1:27" x14ac:dyDescent="0.25">
      <c r="A487" s="30" t="s">
        <v>1064</v>
      </c>
      <c r="B487" s="30" t="s">
        <v>1063</v>
      </c>
      <c r="C487" s="30" t="s">
        <v>1097</v>
      </c>
      <c r="D487" s="30" t="str" cm="1">
        <f t="array" ref="D487">UPPER(_xlfn.XLOOKUP(Loockup_ObrasGerencia[[#This Row],[OBRA_PRONTO]],Tabla7[[#All],[Obra]],Tabla7[[#All],[Gerente de obra]],"Sin Obra Asignada",0))</f>
        <v>FRANCISCO DI LISIO</v>
      </c>
      <c r="E487" s="31" t="str">
        <f>Loockup_ObrasGerencia[[#This Row],[OBRA_PRONTO]]&amp;Loockup_ObrasGerencia[[#This Row],[GERENCIA]]</f>
        <v>00000492FRANCISCO DI LISIO</v>
      </c>
      <c r="H487" t="s">
        <v>1039</v>
      </c>
      <c r="I487" t="s">
        <v>1040</v>
      </c>
      <c r="J487" t="s">
        <v>18</v>
      </c>
      <c r="K487" t="str">
        <f>Tabla7[[#This Row],[Obra]]&amp;Tabla7[[#This Row],[Gerente de obra]]</f>
        <v>ARRECIFESOrtiz Juan Manuel</v>
      </c>
      <c r="L487">
        <f>MATCH(Tabla7[[#This Row],[AUX]],Loockup_ObrasGerencia[[#All],[aux]],0)</f>
        <v>501</v>
      </c>
      <c r="O487" t="str">
        <f>UPPER(GERENCIAS[[#This Row],[Gerente de obra]])</f>
        <v>BDL</v>
      </c>
      <c r="R487" t="s">
        <v>1102</v>
      </c>
      <c r="S487" t="s">
        <v>1102</v>
      </c>
      <c r="T487" t="s">
        <v>1031</v>
      </c>
      <c r="W487" s="8" t="s">
        <v>1064</v>
      </c>
      <c r="X487" s="8" t="s">
        <v>1063</v>
      </c>
      <c r="Y487" s="8" t="s">
        <v>270</v>
      </c>
      <c r="Z487" t="str">
        <f t="shared" si="7"/>
        <v>00000492ACTIVOS</v>
      </c>
      <c r="AA487" s="11" t="e">
        <f>MATCH(Tabla9[[#This Row],[AUX]],Loockup_ObrasGerencia[[#All],[aux]],0)</f>
        <v>#N/A</v>
      </c>
    </row>
    <row r="488" spans="1:27" x14ac:dyDescent="0.25">
      <c r="A488" s="30" t="s">
        <v>1067</v>
      </c>
      <c r="B488" s="30" t="s">
        <v>1066</v>
      </c>
      <c r="C488" s="30" t="s">
        <v>64</v>
      </c>
      <c r="D488" s="30" t="str" cm="1">
        <f t="array" ref="D488">UPPER(_xlfn.XLOOKUP(Loockup_ObrasGerencia[[#This Row],[OBRA_PRONTO]],Tabla7[[#All],[Obra]],Tabla7[[#All],[Gerente de obra]],"Sin Obra Asignada",0))</f>
        <v>ORTIZ JUAN MANUEL</v>
      </c>
      <c r="E488" s="31" t="str">
        <f>Loockup_ObrasGerencia[[#This Row],[OBRA_PRONTO]]&amp;Loockup_ObrasGerencia[[#This Row],[GERENCIA]]</f>
        <v>00000493ORTIZ JUAN MANUEL</v>
      </c>
      <c r="H488" t="s">
        <v>1041</v>
      </c>
      <c r="I488" t="s">
        <v>1041</v>
      </c>
      <c r="J488" t="s">
        <v>1031</v>
      </c>
      <c r="K488" t="str">
        <f>Tabla7[[#This Row],[Obra]]&amp;Tabla7[[#This Row],[Gerente de obra]]</f>
        <v>AUSABDL</v>
      </c>
      <c r="L488">
        <f>MATCH(Tabla7[[#This Row],[AUX]],Loockup_ObrasGerencia[[#All],[aux]],0)</f>
        <v>502</v>
      </c>
      <c r="O488" t="str">
        <f>UPPER(GERENCIAS[[#This Row],[Gerente de obra]])</f>
        <v>SANCHEZ OSCAR</v>
      </c>
      <c r="R488" t="s">
        <v>1103</v>
      </c>
      <c r="S488" t="s">
        <v>1104</v>
      </c>
      <c r="T488" t="s">
        <v>53</v>
      </c>
      <c r="W488" s="8" t="s">
        <v>1105</v>
      </c>
      <c r="X488" s="8" t="s">
        <v>1106</v>
      </c>
      <c r="Y488" s="8" t="s">
        <v>270</v>
      </c>
      <c r="Z488" t="str">
        <f t="shared" si="7"/>
        <v>AACTIVOS</v>
      </c>
      <c r="AA488" s="11" t="e">
        <f>MATCH(Tabla9[[#This Row],[AUX]],Loockup_ObrasGerencia[[#All],[aux]],0)</f>
        <v>#N/A</v>
      </c>
    </row>
    <row r="489" spans="1:27" x14ac:dyDescent="0.25">
      <c r="A489" s="30" t="s">
        <v>1071</v>
      </c>
      <c r="B489" s="30" t="s">
        <v>1070</v>
      </c>
      <c r="C489" s="30" t="s">
        <v>239</v>
      </c>
      <c r="D489" s="30" t="str" cm="1">
        <f t="array" ref="D489">UPPER(_xlfn.XLOOKUP(Loockup_ObrasGerencia[[#This Row],[OBRA_PRONTO]],Tabla7[[#All],[Obra]],Tabla7[[#All],[Gerente de obra]],"Sin Obra Asignada",0))</f>
        <v>JOAQUIN SERNA</v>
      </c>
      <c r="E489" s="31" t="str">
        <f>Loockup_ObrasGerencia[[#This Row],[OBRA_PRONTO]]&amp;Loockup_ObrasGerencia[[#This Row],[GERENCIA]]</f>
        <v>00000494JOAQUIN SERNA</v>
      </c>
      <c r="H489" t="s">
        <v>1042</v>
      </c>
      <c r="I489" t="s">
        <v>1043</v>
      </c>
      <c r="J489" t="s">
        <v>1031</v>
      </c>
      <c r="K489" t="str">
        <f>Tabla7[[#This Row],[Obra]]&amp;Tabla7[[#This Row],[Gerente de obra]]</f>
        <v>AZULBDL</v>
      </c>
      <c r="L489">
        <f>MATCH(Tabla7[[#This Row],[AUX]],Loockup_ObrasGerencia[[#All],[aux]],0)</f>
        <v>503</v>
      </c>
      <c r="O489" t="str">
        <f>UPPER(GERENCIAS[[#This Row],[Gerente de obra]])</f>
        <v>BDL</v>
      </c>
      <c r="R489" t="s">
        <v>1107</v>
      </c>
      <c r="S489" t="s">
        <v>1108</v>
      </c>
      <c r="T489" t="s">
        <v>1031</v>
      </c>
      <c r="W489" s="8" t="s">
        <v>1030</v>
      </c>
      <c r="X489" s="8" t="s">
        <v>1030</v>
      </c>
      <c r="Y489" s="8" t="s">
        <v>64</v>
      </c>
      <c r="Z489" t="str">
        <f t="shared" si="7"/>
        <v>A.C.A.R.AADMINISTRACION</v>
      </c>
      <c r="AA489" s="11" t="e">
        <f>MATCH(Tabla9[[#This Row],[AUX]],Loockup_ObrasGerencia[[#All],[aux]],0)</f>
        <v>#N/A</v>
      </c>
    </row>
    <row r="490" spans="1:27" x14ac:dyDescent="0.25">
      <c r="A490" s="30" t="s">
        <v>1075</v>
      </c>
      <c r="B490" s="30" t="s">
        <v>1074</v>
      </c>
      <c r="C490" s="30" t="s">
        <v>952</v>
      </c>
      <c r="D490" s="30" t="str" cm="1">
        <f t="array" ref="D490">UPPER(_xlfn.XLOOKUP(Loockup_ObrasGerencia[[#This Row],[OBRA_PRONTO]],Tabla7[[#All],[Obra]],Tabla7[[#All],[Gerente de obra]],"Sin Obra Asignada",0))</f>
        <v>FRANCISCO DI LISIO</v>
      </c>
      <c r="E490" s="31" t="str">
        <f>Loockup_ObrasGerencia[[#This Row],[OBRA_PRONTO]]&amp;Loockup_ObrasGerencia[[#This Row],[GERENCIA]]</f>
        <v>00000495FRANCISCO DI LISIO</v>
      </c>
      <c r="H490" t="s">
        <v>1044</v>
      </c>
      <c r="I490" t="s">
        <v>1045</v>
      </c>
      <c r="J490" t="s">
        <v>1031</v>
      </c>
      <c r="K490" t="str">
        <f>Tabla7[[#This Row],[Obra]]&amp;Tabla7[[#This Row],[Gerente de obra]]</f>
        <v>BAHIA BLANCA BDL</v>
      </c>
      <c r="L490" t="e">
        <f>MATCH(Tabla7[[#This Row],[AUX]],Loockup_ObrasGerencia[[#All],[aux]],0)</f>
        <v>#N/A</v>
      </c>
      <c r="O490" t="str">
        <f>UPPER(GERENCIAS[[#This Row],[Gerente de obra]])</f>
        <v>BDL</v>
      </c>
      <c r="R490" t="s">
        <v>1109</v>
      </c>
      <c r="S490" t="s">
        <v>1110</v>
      </c>
      <c r="T490" t="s">
        <v>1031</v>
      </c>
      <c r="W490" s="8" t="s">
        <v>1033</v>
      </c>
      <c r="X490" s="8" t="s">
        <v>1032</v>
      </c>
      <c r="Y490" s="8" t="s">
        <v>64</v>
      </c>
      <c r="Z490" t="str">
        <f t="shared" si="7"/>
        <v>ACCESO GENELBADMINISTRACION</v>
      </c>
      <c r="AA490" s="11" t="e">
        <f>MATCH(Tabla9[[#This Row],[AUX]],Loockup_ObrasGerencia[[#All],[aux]],0)</f>
        <v>#N/A</v>
      </c>
    </row>
    <row r="491" spans="1:27" x14ac:dyDescent="0.25">
      <c r="A491" s="30" t="s">
        <v>1077</v>
      </c>
      <c r="B491" s="30" t="s">
        <v>1076</v>
      </c>
      <c r="C491" s="30" t="s">
        <v>64</v>
      </c>
      <c r="D491" s="30" t="str" cm="1">
        <f t="array" ref="D491">UPPER(_xlfn.XLOOKUP(Loockup_ObrasGerencia[[#This Row],[OBRA_PRONTO]],Tabla7[[#All],[Obra]],Tabla7[[#All],[Gerente de obra]],"Sin Obra Asignada",0))</f>
        <v>CATRIEL GISELA</v>
      </c>
      <c r="E491" s="31" t="str">
        <f>Loockup_ObrasGerencia[[#This Row],[OBRA_PRONTO]]&amp;Loockup_ObrasGerencia[[#This Row],[GERENCIA]]</f>
        <v>00000496CATRIEL GISELA</v>
      </c>
      <c r="H491" t="s">
        <v>1046</v>
      </c>
      <c r="I491" t="s">
        <v>1047</v>
      </c>
      <c r="J491" t="s">
        <v>1031</v>
      </c>
      <c r="K491" t="str">
        <f>Tabla7[[#This Row],[Obra]]&amp;Tabla7[[#This Row],[Gerente de obra]]</f>
        <v>BELGRANO HOCKBDL</v>
      </c>
      <c r="L491">
        <f>MATCH(Tabla7[[#This Row],[AUX]],Loockup_ObrasGerencia[[#All],[aux]],0)</f>
        <v>505</v>
      </c>
      <c r="O491" t="str">
        <f>UPPER(GERENCIAS[[#This Row],[Gerente de obra]])</f>
        <v>BDL</v>
      </c>
      <c r="R491" t="s">
        <v>1111</v>
      </c>
      <c r="S491" t="s">
        <v>1111</v>
      </c>
      <c r="T491" t="s">
        <v>1031</v>
      </c>
      <c r="W491" s="8" t="s">
        <v>1034</v>
      </c>
      <c r="X491" s="8" t="s">
        <v>1034</v>
      </c>
      <c r="Y491" s="8" t="s">
        <v>64</v>
      </c>
      <c r="Z491" t="str">
        <f t="shared" si="7"/>
        <v>ACOPIOADMINISTRACION</v>
      </c>
      <c r="AA491" s="11" t="e">
        <f>MATCH(Tabla9[[#This Row],[AUX]],Loockup_ObrasGerencia[[#All],[aux]],0)</f>
        <v>#N/A</v>
      </c>
    </row>
    <row r="492" spans="1:27" x14ac:dyDescent="0.25">
      <c r="A492" s="30" t="s">
        <v>1081</v>
      </c>
      <c r="B492" s="30" t="s">
        <v>1080</v>
      </c>
      <c r="C492" s="30" t="s">
        <v>1097</v>
      </c>
      <c r="D492" s="30" t="str" cm="1">
        <f t="array" ref="D492">UPPER(_xlfn.XLOOKUP(Loockup_ObrasGerencia[[#This Row],[OBRA_PRONTO]],Tabla7[[#All],[Obra]],Tabla7[[#All],[Gerente de obra]],"Sin Obra Asignada",0))</f>
        <v>FRANCISCO DI LISIO</v>
      </c>
      <c r="E492" s="31" t="str">
        <f>Loockup_ObrasGerencia[[#This Row],[OBRA_PRONTO]]&amp;Loockup_ObrasGerencia[[#This Row],[GERENCIA]]</f>
        <v>00000497FRANCISCO DI LISIO</v>
      </c>
      <c r="H492" t="s">
        <v>1048</v>
      </c>
      <c r="I492" t="s">
        <v>1049</v>
      </c>
      <c r="J492" t="s">
        <v>1031</v>
      </c>
      <c r="K492" t="str">
        <f>Tabla7[[#This Row],[Obra]]&amp;Tabla7[[#This Row],[Gerente de obra]]</f>
        <v>BOMBEROS ETAPBDL</v>
      </c>
      <c r="L492">
        <f>MATCH(Tabla7[[#This Row],[AUX]],Loockup_ObrasGerencia[[#All],[aux]],0)</f>
        <v>506</v>
      </c>
      <c r="O492" t="str">
        <f>UPPER(GERENCIAS[[#This Row],[Gerente de obra]])</f>
        <v>BDL</v>
      </c>
      <c r="R492" t="s">
        <v>1112</v>
      </c>
      <c r="S492" t="s">
        <v>1113</v>
      </c>
      <c r="T492" t="s">
        <v>1031</v>
      </c>
      <c r="W492" s="8" t="s">
        <v>1036</v>
      </c>
      <c r="X492" s="8" t="s">
        <v>1114</v>
      </c>
      <c r="Y492" s="8" t="s">
        <v>64</v>
      </c>
      <c r="Z492" t="str">
        <f t="shared" si="7"/>
        <v>ADIF ANDENESADMINISTRACION</v>
      </c>
      <c r="AA492" s="11" t="e">
        <f>MATCH(Tabla9[[#This Row],[AUX]],Loockup_ObrasGerencia[[#All],[aux]],0)</f>
        <v>#N/A</v>
      </c>
    </row>
    <row r="493" spans="1:27" x14ac:dyDescent="0.25">
      <c r="A493" s="30" t="s">
        <v>1084</v>
      </c>
      <c r="B493" s="30" t="s">
        <v>1083</v>
      </c>
      <c r="C493" s="30" t="s">
        <v>17</v>
      </c>
      <c r="D493" s="30" t="str" cm="1">
        <f t="array" ref="D493">UPPER(_xlfn.XLOOKUP(Loockup_ObrasGerencia[[#This Row],[OBRA_PRONTO]],Tabla7[[#All],[Obra]],Tabla7[[#All],[Gerente de obra]],"Sin Obra Asignada",0))</f>
        <v>FRANCISCO NAVARRO</v>
      </c>
      <c r="E493" s="31" t="str">
        <f>Loockup_ObrasGerencia[[#This Row],[OBRA_PRONTO]]&amp;Loockup_ObrasGerencia[[#This Row],[GERENCIA]]</f>
        <v>00000498FRANCISCO NAVARRO</v>
      </c>
      <c r="H493" t="s">
        <v>1050</v>
      </c>
      <c r="I493" t="s">
        <v>738</v>
      </c>
      <c r="J493" t="s">
        <v>18</v>
      </c>
      <c r="K493" t="str">
        <f>Tabla7[[#This Row],[Obra]]&amp;Tabla7[[#This Row],[Gerente de obra]]</f>
        <v>BROWN BARRIOSOrtiz Juan Manuel</v>
      </c>
      <c r="L493" t="e">
        <f>MATCH(Tabla7[[#This Row],[AUX]],Loockup_ObrasGerencia[[#All],[aux]],0)</f>
        <v>#N/A</v>
      </c>
      <c r="O493" t="str">
        <f>UPPER(GERENCIAS[[#This Row],[Gerente de obra]])</f>
        <v>DIEGO AGUIRRE</v>
      </c>
      <c r="R493" t="s">
        <v>1115</v>
      </c>
      <c r="S493" t="s">
        <v>1115</v>
      </c>
      <c r="T493" t="s">
        <v>178</v>
      </c>
      <c r="W493" s="8" t="s">
        <v>1037</v>
      </c>
      <c r="X493" s="8" t="s">
        <v>1037</v>
      </c>
      <c r="Y493" s="8" t="s">
        <v>64</v>
      </c>
      <c r="Z493" t="str">
        <f t="shared" si="7"/>
        <v>ADIF MODULOSADMINISTRACION</v>
      </c>
      <c r="AA493" s="11" t="e">
        <f>MATCH(Tabla9[[#This Row],[AUX]],Loockup_ObrasGerencia[[#All],[aux]],0)</f>
        <v>#N/A</v>
      </c>
    </row>
    <row r="494" spans="1:27" x14ac:dyDescent="0.25">
      <c r="A494" s="30" t="s">
        <v>1105</v>
      </c>
      <c r="B494" s="30" t="s">
        <v>1106</v>
      </c>
      <c r="C494" s="30" t="s">
        <v>270</v>
      </c>
      <c r="D494" s="30" t="str" cm="1">
        <f t="array" ref="D494">UPPER(_xlfn.XLOOKUP(Loockup_ObrasGerencia[[#This Row],[OBRA_PRONTO]],Tabla7[[#All],[Obra]],Tabla7[[#All],[Gerente de obra]],"Sin Obra Asignada",0))</f>
        <v>SIN OBRA ASIGNADA</v>
      </c>
      <c r="E494" s="31" t="str">
        <f>Loockup_ObrasGerencia[[#This Row],[OBRA_PRONTO]]&amp;Loockup_ObrasGerencia[[#This Row],[GERENCIA]]</f>
        <v>ASIN OBRA ASIGNADA</v>
      </c>
      <c r="H494" t="s">
        <v>1053</v>
      </c>
      <c r="I494" t="s">
        <v>1053</v>
      </c>
      <c r="J494" t="s">
        <v>1031</v>
      </c>
      <c r="K494" t="str">
        <f>Tabla7[[#This Row],[Obra]]&amp;Tabla7[[#This Row],[Gerente de obra]]</f>
        <v>BUNGE SPARBDL</v>
      </c>
      <c r="L494">
        <f>MATCH(Tabla7[[#This Row],[AUX]],Loockup_ObrasGerencia[[#All],[aux]],0)</f>
        <v>507</v>
      </c>
      <c r="O494" t="str">
        <f>UPPER(GERENCIAS[[#This Row],[Gerente de obra]])</f>
        <v>FRANCISCO DI LISIO</v>
      </c>
      <c r="R494" t="s">
        <v>1116</v>
      </c>
      <c r="S494" t="s">
        <v>1116</v>
      </c>
      <c r="T494" t="s">
        <v>78</v>
      </c>
      <c r="W494" s="8" t="s">
        <v>1040</v>
      </c>
      <c r="X494" s="8" t="s">
        <v>1039</v>
      </c>
      <c r="Y494" s="8" t="s">
        <v>64</v>
      </c>
      <c r="Z494" t="str">
        <f t="shared" si="7"/>
        <v>ARRECIFESADMINISTRACION</v>
      </c>
      <c r="AA494" s="11" t="e">
        <f>MATCH(Tabla9[[#This Row],[AUX]],Loockup_ObrasGerencia[[#All],[aux]],0)</f>
        <v>#N/A</v>
      </c>
    </row>
    <row r="495" spans="1:27" x14ac:dyDescent="0.25">
      <c r="A495" s="30" t="s">
        <v>1030</v>
      </c>
      <c r="B495" s="30" t="s">
        <v>1030</v>
      </c>
      <c r="C495" s="30" t="s">
        <v>64</v>
      </c>
      <c r="D495" s="30" t="str" cm="1">
        <f t="array" ref="D495">UPPER(_xlfn.XLOOKUP(Loockup_ObrasGerencia[[#This Row],[OBRA_PRONTO]],Tabla7[[#All],[Obra]],Tabla7[[#All],[Gerente de obra]],"Sin Obra Asignada",0))</f>
        <v>BDL</v>
      </c>
      <c r="E495" s="31" t="str">
        <f>Loockup_ObrasGerencia[[#This Row],[OBRA_PRONTO]]&amp;Loockup_ObrasGerencia[[#This Row],[GERENCIA]]</f>
        <v>A.C.A.R.ABDL</v>
      </c>
      <c r="H495" t="s">
        <v>1056</v>
      </c>
      <c r="I495" t="s">
        <v>1057</v>
      </c>
      <c r="J495" t="s">
        <v>79</v>
      </c>
      <c r="K495" t="str">
        <f>Tabla7[[#This Row],[Obra]]&amp;Tabla7[[#This Row],[Gerente de obra]]</f>
        <v>CANTERAFrancisco Di Lisio</v>
      </c>
      <c r="L495" t="e">
        <f>MATCH(Tabla7[[#This Row],[AUX]],Loockup_ObrasGerencia[[#All],[aux]],0)</f>
        <v>#N/A</v>
      </c>
      <c r="O495" t="str">
        <f>UPPER(GERENCIAS[[#This Row],[Gerente de obra]])</f>
        <v>FRANCISCO DI LISIO</v>
      </c>
      <c r="R495" t="s">
        <v>711</v>
      </c>
      <c r="S495" t="s">
        <v>1117</v>
      </c>
      <c r="T495" t="s">
        <v>78</v>
      </c>
      <c r="W495" s="8" t="s">
        <v>1041</v>
      </c>
      <c r="X495" s="8" t="s">
        <v>1041</v>
      </c>
      <c r="Y495" s="8" t="s">
        <v>64</v>
      </c>
      <c r="Z495" t="str">
        <f t="shared" si="7"/>
        <v>AUSAADMINISTRACION</v>
      </c>
      <c r="AA495" s="11" t="e">
        <f>MATCH(Tabla9[[#This Row],[AUX]],Loockup_ObrasGerencia[[#All],[aux]],0)</f>
        <v>#N/A</v>
      </c>
    </row>
    <row r="496" spans="1:27" x14ac:dyDescent="0.25">
      <c r="A496" s="30" t="s">
        <v>1033</v>
      </c>
      <c r="B496" s="30" t="s">
        <v>1032</v>
      </c>
      <c r="C496" s="30" t="s">
        <v>64</v>
      </c>
      <c r="D496" s="30" t="str" cm="1">
        <f t="array" ref="D496">UPPER(_xlfn.XLOOKUP(Loockup_ObrasGerencia[[#This Row],[OBRA_PRONTO]],Tabla7[[#All],[Obra]],Tabla7[[#All],[Gerente de obra]],"Sin Obra Asignada",0))</f>
        <v>BDL</v>
      </c>
      <c r="E496" s="31" t="str">
        <f>Loockup_ObrasGerencia[[#This Row],[OBRA_PRONTO]]&amp;Loockup_ObrasGerencia[[#This Row],[GERENCIA]]</f>
        <v>ACCESO GENELBBDL</v>
      </c>
      <c r="H496" t="s">
        <v>1060</v>
      </c>
      <c r="I496" t="s">
        <v>1061</v>
      </c>
      <c r="J496" t="s">
        <v>1031</v>
      </c>
      <c r="K496" t="str">
        <f>Tabla7[[#This Row],[Obra]]&amp;Tabla7[[#This Row],[Gerente de obra]]</f>
        <v>CAÑUELAS ACCEBDL</v>
      </c>
      <c r="L496">
        <f>MATCH(Tabla7[[#This Row],[AUX]],Loockup_ObrasGerencia[[#All],[aux]],0)</f>
        <v>508</v>
      </c>
      <c r="O496" t="str">
        <f>UPPER(GERENCIAS[[#This Row],[Gerente de obra]])</f>
        <v>BDL</v>
      </c>
      <c r="R496" t="s">
        <v>1120</v>
      </c>
      <c r="S496" t="s">
        <v>1121</v>
      </c>
      <c r="T496" t="s">
        <v>1031</v>
      </c>
      <c r="W496" s="8" t="s">
        <v>1043</v>
      </c>
      <c r="X496" s="8" t="s">
        <v>1042</v>
      </c>
      <c r="Y496" s="8" t="s">
        <v>64</v>
      </c>
      <c r="Z496" t="str">
        <f t="shared" si="7"/>
        <v>AZULADMINISTRACION</v>
      </c>
      <c r="AA496" s="11" t="e">
        <f>MATCH(Tabla9[[#This Row],[AUX]],Loockup_ObrasGerencia[[#All],[aux]],0)</f>
        <v>#N/A</v>
      </c>
    </row>
    <row r="497" spans="1:27" x14ac:dyDescent="0.25">
      <c r="A497" s="30" t="s">
        <v>1034</v>
      </c>
      <c r="B497" s="30" t="s">
        <v>1034</v>
      </c>
      <c r="C497" s="30" t="s">
        <v>64</v>
      </c>
      <c r="D497" s="30" t="str" cm="1">
        <f t="array" ref="D497">UPPER(_xlfn.XLOOKUP(Loockup_ObrasGerencia[[#This Row],[OBRA_PRONTO]],Tabla7[[#All],[Obra]],Tabla7[[#All],[Gerente de obra]],"Sin Obra Asignada",0))</f>
        <v>FRANCISCO DI LISIO</v>
      </c>
      <c r="E497" s="31" t="str">
        <f>Loockup_ObrasGerencia[[#This Row],[OBRA_PRONTO]]&amp;Loockup_ObrasGerencia[[#This Row],[GERENCIA]]</f>
        <v>ACOPIOFRANCISCO DI LISIO</v>
      </c>
      <c r="H497" t="s">
        <v>1065</v>
      </c>
      <c r="I497" t="s">
        <v>701</v>
      </c>
      <c r="J497" t="s">
        <v>79</v>
      </c>
      <c r="K497" t="str">
        <f>Tabla7[[#This Row],[Obra]]&amp;Tabla7[[#This Row],[Gerente de obra]]</f>
        <v>CAÑUELAS AV DFrancisco Di Lisio</v>
      </c>
      <c r="L497" t="e">
        <f>MATCH(Tabla7[[#This Row],[AUX]],Loockup_ObrasGerencia[[#All],[aux]],0)</f>
        <v>#N/A</v>
      </c>
      <c r="O497" t="str">
        <f>UPPER(GERENCIAS[[#This Row],[Gerente de obra]])</f>
        <v>BDL</v>
      </c>
      <c r="R497" t="s">
        <v>1122</v>
      </c>
      <c r="S497" t="s">
        <v>1123</v>
      </c>
      <c r="T497" t="s">
        <v>1031</v>
      </c>
      <c r="W497" s="8" t="s">
        <v>1045</v>
      </c>
      <c r="X497" s="8" t="s">
        <v>1124</v>
      </c>
      <c r="Y497" s="8" t="s">
        <v>64</v>
      </c>
      <c r="Z497" t="str">
        <f t="shared" si="7"/>
        <v>BAHIA BLANCAADMINISTRACION</v>
      </c>
      <c r="AA497" s="11" t="e">
        <f>MATCH(Tabla9[[#This Row],[AUX]],Loockup_ObrasGerencia[[#All],[aux]],0)</f>
        <v>#N/A</v>
      </c>
    </row>
    <row r="498" spans="1:27" x14ac:dyDescent="0.25">
      <c r="A498" s="33" t="s">
        <v>669</v>
      </c>
      <c r="B498" s="7" t="s">
        <v>669</v>
      </c>
      <c r="C498" s="34" t="s">
        <v>17</v>
      </c>
      <c r="D498" s="34" t="s">
        <v>78</v>
      </c>
      <c r="E498" s="35">
        <v>580</v>
      </c>
      <c r="H498" t="s">
        <v>1068</v>
      </c>
      <c r="I498" t="s">
        <v>1069</v>
      </c>
      <c r="J498" t="s">
        <v>1031</v>
      </c>
      <c r="K498" t="str">
        <f>Tabla7[[#This Row],[Obra]]&amp;Tabla7[[#This Row],[Gerente de obra]]</f>
        <v>CAÑUELAS VIALBDL</v>
      </c>
      <c r="L498">
        <f>MATCH(Tabla7[[#This Row],[AUX]],Loockup_ObrasGerencia[[#All],[aux]],0)</f>
        <v>509</v>
      </c>
      <c r="O498" t="str">
        <f>UPPER(GERENCIAS[[#This Row],[Gerente de obra]])</f>
        <v>BDL</v>
      </c>
      <c r="R498" t="s">
        <v>1125</v>
      </c>
      <c r="S498" t="s">
        <v>1126</v>
      </c>
      <c r="T498" t="s">
        <v>1031</v>
      </c>
      <c r="W498" s="8" t="s">
        <v>1047</v>
      </c>
      <c r="X498" s="8" t="s">
        <v>1046</v>
      </c>
      <c r="Y498" s="8" t="s">
        <v>64</v>
      </c>
      <c r="Z498" t="str">
        <f t="shared" si="7"/>
        <v>BELGRANO HOCKADMINISTRACION</v>
      </c>
      <c r="AA498" s="11" t="e">
        <f>MATCH(Tabla9[[#This Row],[AUX]],Loockup_ObrasGerencia[[#All],[aux]],0)</f>
        <v>#N/A</v>
      </c>
    </row>
    <row r="499" spans="1:27" x14ac:dyDescent="0.25">
      <c r="A499" s="30" t="s">
        <v>1036</v>
      </c>
      <c r="B499" s="30" t="s">
        <v>1114</v>
      </c>
      <c r="C499" s="30" t="s">
        <v>64</v>
      </c>
      <c r="D499" s="30" t="str" cm="1">
        <f t="array" ref="D499">UPPER(_xlfn.XLOOKUP(Loockup_ObrasGerencia[[#This Row],[OBRA_PRONTO]],Tabla7[[#All],[Obra]],Tabla7[[#All],[Gerente de obra]],"Sin Obra Asignada",0))</f>
        <v>SIN OBRA ASIGNADA</v>
      </c>
      <c r="E499" s="31" t="str">
        <f>Loockup_ObrasGerencia[[#This Row],[OBRA_PRONTO]]&amp;Loockup_ObrasGerencia[[#This Row],[GERENCIA]]</f>
        <v>ADIF ANDENESSIN OBRA ASIGNADA</v>
      </c>
      <c r="H499" t="s">
        <v>1072</v>
      </c>
      <c r="I499" t="s">
        <v>1072</v>
      </c>
      <c r="J499" t="s">
        <v>1031</v>
      </c>
      <c r="K499" t="str">
        <f>Tabla7[[#This Row],[Obra]]&amp;Tabla7[[#This Row],[Gerente de obra]]</f>
        <v>CARRETONBDL</v>
      </c>
      <c r="L499">
        <f>MATCH(Tabla7[[#This Row],[AUX]],Loockup_ObrasGerencia[[#All],[aux]],0)</f>
        <v>510</v>
      </c>
      <c r="O499" t="str">
        <f>UPPER(GERENCIAS[[#This Row],[Gerente de obra]])</f>
        <v>BDL</v>
      </c>
      <c r="R499" t="s">
        <v>1127</v>
      </c>
      <c r="S499" t="s">
        <v>1128</v>
      </c>
      <c r="T499" t="s">
        <v>1031</v>
      </c>
      <c r="W499" s="8" t="s">
        <v>1049</v>
      </c>
      <c r="X499" s="8" t="s">
        <v>1048</v>
      </c>
      <c r="Y499" s="8" t="s">
        <v>64</v>
      </c>
      <c r="Z499" t="str">
        <f t="shared" si="7"/>
        <v>BOMBEROS ETAPADMINISTRACION</v>
      </c>
      <c r="AA499" s="11" t="e">
        <f>MATCH(Tabla9[[#This Row],[AUX]],Loockup_ObrasGerencia[[#All],[aux]],0)</f>
        <v>#N/A</v>
      </c>
    </row>
    <row r="500" spans="1:27" x14ac:dyDescent="0.25">
      <c r="A500" s="30" t="s">
        <v>1037</v>
      </c>
      <c r="B500" s="30" t="s">
        <v>1037</v>
      </c>
      <c r="C500" s="30" t="s">
        <v>64</v>
      </c>
      <c r="D500" s="30" t="str" cm="1">
        <f t="array" ref="D500">UPPER(_xlfn.XLOOKUP(Loockup_ObrasGerencia[[#This Row],[OBRA_PRONTO]],Tabla7[[#All],[Obra]],Tabla7[[#All],[Gerente de obra]],"Sin Obra Asignada",0))</f>
        <v>FRANCISCO DI LISIO</v>
      </c>
      <c r="E500" s="31" t="str">
        <f>Loockup_ObrasGerencia[[#This Row],[OBRA_PRONTO]]&amp;Loockup_ObrasGerencia[[#This Row],[GERENCIA]]</f>
        <v>ADIF MODULOSFRANCISCO DI LISIO</v>
      </c>
      <c r="H500" t="s">
        <v>243</v>
      </c>
      <c r="I500" t="s">
        <v>243</v>
      </c>
      <c r="J500" t="s">
        <v>271</v>
      </c>
      <c r="K500" t="str">
        <f>Tabla7[[#This Row],[Obra]]&amp;Tabla7[[#This Row],[Gerente de obra]]</f>
        <v>CATRIEL GISELACatriel Gisela</v>
      </c>
      <c r="L500">
        <f>MATCH(Tabla7[[#This Row],[AUX]],Loockup_ObrasGerencia[[#All],[aux]],0)</f>
        <v>511</v>
      </c>
      <c r="O500" t="str">
        <f>UPPER(GERENCIAS[[#This Row],[Gerente de obra]])</f>
        <v>BDL</v>
      </c>
      <c r="R500" t="s">
        <v>1129</v>
      </c>
      <c r="S500" t="s">
        <v>1130</v>
      </c>
      <c r="T500" t="s">
        <v>1031</v>
      </c>
      <c r="W500" s="8" t="s">
        <v>1053</v>
      </c>
      <c r="X500" s="8" t="s">
        <v>1053</v>
      </c>
      <c r="Y500" s="8" t="s">
        <v>64</v>
      </c>
      <c r="Z500" t="str">
        <f t="shared" si="7"/>
        <v>BUNGE SPARADMINISTRACION</v>
      </c>
      <c r="AA500" s="11" t="e">
        <f>MATCH(Tabla9[[#This Row],[AUX]],Loockup_ObrasGerencia[[#All],[aux]],0)</f>
        <v>#N/A</v>
      </c>
    </row>
    <row r="501" spans="1:27" x14ac:dyDescent="0.25">
      <c r="A501" s="30" t="s">
        <v>1040</v>
      </c>
      <c r="B501" s="30" t="s">
        <v>1039</v>
      </c>
      <c r="C501" s="30" t="s">
        <v>64</v>
      </c>
      <c r="D501" s="30" t="str" cm="1">
        <f t="array" ref="D501">UPPER(_xlfn.XLOOKUP(Loockup_ObrasGerencia[[#This Row],[OBRA_PRONTO]],Tabla7[[#All],[Obra]],Tabla7[[#All],[Gerente de obra]],"Sin Obra Asignada",0))</f>
        <v>ORTIZ JUAN MANUEL</v>
      </c>
      <c r="E501" s="31" t="str">
        <f>Loockup_ObrasGerencia[[#This Row],[OBRA_PRONTO]]&amp;Loockup_ObrasGerencia[[#This Row],[GERENCIA]]</f>
        <v>ARRECIFESORTIZ JUAN MANUEL</v>
      </c>
      <c r="H501" t="s">
        <v>1078</v>
      </c>
      <c r="I501" t="s">
        <v>1079</v>
      </c>
      <c r="J501" t="s">
        <v>1031</v>
      </c>
      <c r="K501" t="str">
        <f>Tabla7[[#This Row],[Obra]]&amp;Tabla7[[#This Row],[Gerente de obra]]</f>
        <v>CITY BELL MUNBDL</v>
      </c>
      <c r="L501">
        <f>MATCH(Tabla7[[#This Row],[AUX]],Loockup_ObrasGerencia[[#All],[aux]],0)</f>
        <v>512</v>
      </c>
      <c r="O501" t="str">
        <f>UPPER(GERENCIAS[[#This Row],[Gerente de obra]])</f>
        <v>BDL</v>
      </c>
      <c r="R501" t="s">
        <v>1131</v>
      </c>
      <c r="S501" t="s">
        <v>1131</v>
      </c>
      <c r="T501" t="s">
        <v>1031</v>
      </c>
      <c r="W501" s="8" t="s">
        <v>1061</v>
      </c>
      <c r="X501" s="8" t="s">
        <v>1060</v>
      </c>
      <c r="Y501" s="8" t="s">
        <v>64</v>
      </c>
      <c r="Z501" t="str">
        <f t="shared" si="7"/>
        <v>CAÑUELAS ACCEADMINISTRACION</v>
      </c>
      <c r="AA501" s="11" t="e">
        <f>MATCH(Tabla9[[#This Row],[AUX]],Loockup_ObrasGerencia[[#All],[aux]],0)</f>
        <v>#N/A</v>
      </c>
    </row>
    <row r="502" spans="1:27" x14ac:dyDescent="0.25">
      <c r="A502" s="30" t="s">
        <v>1041</v>
      </c>
      <c r="B502" s="30" t="s">
        <v>1041</v>
      </c>
      <c r="C502" s="30" t="s">
        <v>64</v>
      </c>
      <c r="D502" s="30" t="str" cm="1">
        <f t="array" ref="D502">UPPER(_xlfn.XLOOKUP(Loockup_ObrasGerencia[[#This Row],[OBRA_PRONTO]],Tabla7[[#All],[Obra]],Tabla7[[#All],[Gerente de obra]],"Sin Obra Asignada",0))</f>
        <v>BDL</v>
      </c>
      <c r="E502" s="31" t="str">
        <f>Loockup_ObrasGerencia[[#This Row],[OBRA_PRONTO]]&amp;Loockup_ObrasGerencia[[#This Row],[GERENCIA]]</f>
        <v>AUSABDL</v>
      </c>
      <c r="H502" t="s">
        <v>1082</v>
      </c>
      <c r="I502" t="s">
        <v>1082</v>
      </c>
      <c r="J502" t="s">
        <v>1031</v>
      </c>
      <c r="K502" t="str">
        <f>Tabla7[[#This Row],[Obra]]&amp;Tabla7[[#This Row],[Gerente de obra]]</f>
        <v>COCI S.ABDL</v>
      </c>
      <c r="L502">
        <f>MATCH(Tabla7[[#This Row],[AUX]],Loockup_ObrasGerencia[[#All],[aux]],0)</f>
        <v>513</v>
      </c>
      <c r="O502" t="str">
        <f>UPPER(GERENCIAS[[#This Row],[Gerente de obra]])</f>
        <v>BDL</v>
      </c>
      <c r="R502" t="s">
        <v>1132</v>
      </c>
      <c r="S502" t="s">
        <v>1133</v>
      </c>
      <c r="T502" t="s">
        <v>1031</v>
      </c>
      <c r="W502" s="8" t="s">
        <v>1069</v>
      </c>
      <c r="X502" s="8" t="s">
        <v>1068</v>
      </c>
      <c r="Y502" s="8" t="s">
        <v>64</v>
      </c>
      <c r="Z502" t="str">
        <f t="shared" si="7"/>
        <v>CAÑUELAS VIALADMINISTRACION</v>
      </c>
      <c r="AA502" s="11" t="e">
        <f>MATCH(Tabla9[[#This Row],[AUX]],Loockup_ObrasGerencia[[#All],[aux]],0)</f>
        <v>#N/A</v>
      </c>
    </row>
    <row r="503" spans="1:27" x14ac:dyDescent="0.25">
      <c r="A503" s="30" t="s">
        <v>1043</v>
      </c>
      <c r="B503" s="30" t="s">
        <v>1042</v>
      </c>
      <c r="C503" s="30" t="s">
        <v>64</v>
      </c>
      <c r="D503" s="30" t="str" cm="1">
        <f t="array" ref="D503">UPPER(_xlfn.XLOOKUP(Loockup_ObrasGerencia[[#This Row],[OBRA_PRONTO]],Tabla7[[#All],[Obra]],Tabla7[[#All],[Gerente de obra]],"Sin Obra Asignada",0))</f>
        <v>BDL</v>
      </c>
      <c r="E503" s="31" t="str">
        <f>Loockup_ObrasGerencia[[#This Row],[OBRA_PRONTO]]&amp;Loockup_ObrasGerencia[[#This Row],[GERENCIA]]</f>
        <v>AZULBDL</v>
      </c>
      <c r="H503" t="s">
        <v>1085</v>
      </c>
      <c r="I503" t="s">
        <v>1086</v>
      </c>
      <c r="J503" t="s">
        <v>1031</v>
      </c>
      <c r="K503" t="str">
        <f>Tabla7[[#This Row],[Obra]]&amp;Tabla7[[#This Row],[Gerente de obra]]</f>
        <v>COMISARIA VBDL</v>
      </c>
      <c r="L503">
        <f>MATCH(Tabla7[[#This Row],[AUX]],Loockup_ObrasGerencia[[#All],[aux]],0)</f>
        <v>514</v>
      </c>
      <c r="O503" t="str">
        <f>UPPER(GERENCIAS[[#This Row],[Gerente de obra]])</f>
        <v>BDL</v>
      </c>
      <c r="R503" t="s">
        <v>1134</v>
      </c>
      <c r="S503" t="s">
        <v>1135</v>
      </c>
      <c r="T503" t="s">
        <v>1031</v>
      </c>
      <c r="W503" s="8" t="s">
        <v>1072</v>
      </c>
      <c r="X503" s="8" t="s">
        <v>1072</v>
      </c>
      <c r="Y503" s="8" t="s">
        <v>64</v>
      </c>
      <c r="Z503" t="str">
        <f t="shared" si="7"/>
        <v>CARRETONADMINISTRACION</v>
      </c>
      <c r="AA503" s="11" t="e">
        <f>MATCH(Tabla9[[#This Row],[AUX]],Loockup_ObrasGerencia[[#All],[aux]],0)</f>
        <v>#N/A</v>
      </c>
    </row>
    <row r="504" spans="1:27" x14ac:dyDescent="0.25">
      <c r="A504" s="30" t="s">
        <v>1045</v>
      </c>
      <c r="B504" s="30" t="s">
        <v>1124</v>
      </c>
      <c r="C504" s="30" t="s">
        <v>64</v>
      </c>
      <c r="D504" s="30" t="str" cm="1">
        <f t="array" ref="D504">UPPER(_xlfn.XLOOKUP(Loockup_ObrasGerencia[[#This Row],[OBRA_PRONTO]],Tabla7[[#All],[Obra]],Tabla7[[#All],[Gerente de obra]],"Sin Obra Asignada",0))</f>
        <v>SIN OBRA ASIGNADA</v>
      </c>
      <c r="E504" s="31" t="str">
        <f>Loockup_ObrasGerencia[[#This Row],[OBRA_PRONTO]]&amp;Loockup_ObrasGerencia[[#This Row],[GERENCIA]]</f>
        <v>BAHIA BLANCASIN OBRA ASIGNADA</v>
      </c>
      <c r="H504" t="s">
        <v>1087</v>
      </c>
      <c r="I504" t="s">
        <v>1088</v>
      </c>
      <c r="J504" t="s">
        <v>1031</v>
      </c>
      <c r="K504" t="str">
        <f>Tabla7[[#This Row],[Obra]]&amp;Tabla7[[#This Row],[Gerente de obra]]</f>
        <v>COMPRA VENTA BDL</v>
      </c>
      <c r="L504" t="e">
        <f>MATCH(Tabla7[[#This Row],[AUX]],Loockup_ObrasGerencia[[#All],[aux]],0)</f>
        <v>#N/A</v>
      </c>
      <c r="O504" t="str">
        <f>UPPER(GERENCIAS[[#This Row],[Gerente de obra]])</f>
        <v>BDL</v>
      </c>
      <c r="R504" t="s">
        <v>1136</v>
      </c>
      <c r="S504" t="s">
        <v>1137</v>
      </c>
      <c r="T504" t="s">
        <v>1031</v>
      </c>
      <c r="W504" s="8" t="s">
        <v>243</v>
      </c>
      <c r="X504" s="8" t="s">
        <v>243</v>
      </c>
      <c r="Y504" s="8" t="s">
        <v>17</v>
      </c>
      <c r="Z504" t="str">
        <f t="shared" si="7"/>
        <v>CATRIEL GISELASI</v>
      </c>
      <c r="AA504" s="11" t="e">
        <f>MATCH(Tabla9[[#This Row],[AUX]],Loockup_ObrasGerencia[[#All],[aux]],0)</f>
        <v>#N/A</v>
      </c>
    </row>
    <row r="505" spans="1:27" x14ac:dyDescent="0.25">
      <c r="A505" s="30" t="s">
        <v>1047</v>
      </c>
      <c r="B505" s="30" t="s">
        <v>1046</v>
      </c>
      <c r="C505" s="30" t="s">
        <v>64</v>
      </c>
      <c r="D505" s="30" t="str" cm="1">
        <f t="array" ref="D505">UPPER(_xlfn.XLOOKUP(Loockup_ObrasGerencia[[#This Row],[OBRA_PRONTO]],Tabla7[[#All],[Obra]],Tabla7[[#All],[Gerente de obra]],"Sin Obra Asignada",0))</f>
        <v>BDL</v>
      </c>
      <c r="E505" s="31" t="str">
        <f>Loockup_ObrasGerencia[[#This Row],[OBRA_PRONTO]]&amp;Loockup_ObrasGerencia[[#This Row],[GERENCIA]]</f>
        <v>BELGRANO HOCKBDL</v>
      </c>
      <c r="H505" t="s">
        <v>1089</v>
      </c>
      <c r="I505" t="s">
        <v>1090</v>
      </c>
      <c r="J505" t="s">
        <v>1031</v>
      </c>
      <c r="K505" t="str">
        <f>Tabla7[[#This Row],[Obra]]&amp;Tabla7[[#This Row],[Gerente de obra]]</f>
        <v>COUNTRY ECHEVBDL</v>
      </c>
      <c r="L505">
        <f>MATCH(Tabla7[[#This Row],[AUX]],Loockup_ObrasGerencia[[#All],[aux]],0)</f>
        <v>516</v>
      </c>
      <c r="O505" t="str">
        <f>UPPER(GERENCIAS[[#This Row],[Gerente de obra]])</f>
        <v>FRANCISCO DI LISIO</v>
      </c>
      <c r="R505" t="s">
        <v>1138</v>
      </c>
      <c r="S505" t="s">
        <v>801</v>
      </c>
      <c r="T505" t="s">
        <v>78</v>
      </c>
      <c r="W505" s="8" t="s">
        <v>1079</v>
      </c>
      <c r="X505" s="8" t="s">
        <v>1078</v>
      </c>
      <c r="Y505" s="8" t="s">
        <v>64</v>
      </c>
      <c r="Z505" t="str">
        <f t="shared" si="7"/>
        <v>CITY BELL MUNADMINISTRACION</v>
      </c>
      <c r="AA505" s="11" t="e">
        <f>MATCH(Tabla9[[#This Row],[AUX]],Loockup_ObrasGerencia[[#All],[aux]],0)</f>
        <v>#N/A</v>
      </c>
    </row>
    <row r="506" spans="1:27" x14ac:dyDescent="0.25">
      <c r="A506" s="30" t="s">
        <v>1049</v>
      </c>
      <c r="B506" s="30" t="s">
        <v>1048</v>
      </c>
      <c r="C506" s="30" t="s">
        <v>64</v>
      </c>
      <c r="D506" s="30" t="str" cm="1">
        <f t="array" ref="D506">UPPER(_xlfn.XLOOKUP(Loockup_ObrasGerencia[[#This Row],[OBRA_PRONTO]],Tabla7[[#All],[Obra]],Tabla7[[#All],[Gerente de obra]],"Sin Obra Asignada",0))</f>
        <v>BDL</v>
      </c>
      <c r="E506" s="31" t="str">
        <f>Loockup_ObrasGerencia[[#This Row],[OBRA_PRONTO]]&amp;Loockup_ObrasGerencia[[#This Row],[GERENCIA]]</f>
        <v>BOMBEROS ETAPBDL</v>
      </c>
      <c r="H506" t="s">
        <v>1091</v>
      </c>
      <c r="I506" t="s">
        <v>1091</v>
      </c>
      <c r="J506" t="s">
        <v>79</v>
      </c>
      <c r="K506" t="str">
        <f>Tabla7[[#This Row],[Obra]]&amp;Tabla7[[#This Row],[Gerente de obra]]</f>
        <v>DEUDA INTERLOGFrancisco Di Lisio</v>
      </c>
      <c r="L506">
        <f>MATCH(Tabla7[[#This Row],[AUX]],Loockup_ObrasGerencia[[#All],[aux]],0)</f>
        <v>518</v>
      </c>
      <c r="O506" t="str">
        <f>UPPER(GERENCIAS[[#This Row],[Gerente de obra]])</f>
        <v>BDL</v>
      </c>
      <c r="R506" t="s">
        <v>1139</v>
      </c>
      <c r="S506" t="s">
        <v>1139</v>
      </c>
      <c r="T506" t="s">
        <v>1031</v>
      </c>
      <c r="W506" s="8" t="s">
        <v>1082</v>
      </c>
      <c r="X506" s="8" t="s">
        <v>1082</v>
      </c>
      <c r="Y506" s="8" t="s">
        <v>64</v>
      </c>
      <c r="Z506" t="str">
        <f t="shared" si="7"/>
        <v>COCI S.AADMINISTRACION</v>
      </c>
      <c r="AA506" s="11" t="e">
        <f>MATCH(Tabla9[[#This Row],[AUX]],Loockup_ObrasGerencia[[#All],[aux]],0)</f>
        <v>#N/A</v>
      </c>
    </row>
    <row r="507" spans="1:27" x14ac:dyDescent="0.25">
      <c r="A507" s="30" t="s">
        <v>1053</v>
      </c>
      <c r="B507" s="30" t="s">
        <v>1053</v>
      </c>
      <c r="C507" s="30" t="s">
        <v>64</v>
      </c>
      <c r="D507" s="30" t="str" cm="1">
        <f t="array" ref="D507">UPPER(_xlfn.XLOOKUP(Loockup_ObrasGerencia[[#This Row],[OBRA_PRONTO]],Tabla7[[#All],[Obra]],Tabla7[[#All],[Gerente de obra]],"Sin Obra Asignada",0))</f>
        <v>BDL</v>
      </c>
      <c r="E507" s="31" t="str">
        <f>Loockup_ObrasGerencia[[#This Row],[OBRA_PRONTO]]&amp;Loockup_ObrasGerencia[[#This Row],[GERENCIA]]</f>
        <v>BUNGE SPARBDL</v>
      </c>
      <c r="H507" t="s">
        <v>1092</v>
      </c>
      <c r="I507" t="s">
        <v>1092</v>
      </c>
      <c r="J507" t="s">
        <v>1031</v>
      </c>
      <c r="K507" t="str">
        <f>Tabla7[[#This Row],[Obra]]&amp;Tabla7[[#This Row],[Gerente de obra]]</f>
        <v>DORREGOBDL</v>
      </c>
      <c r="L507">
        <f>MATCH(Tabla7[[#This Row],[AUX]],Loockup_ObrasGerencia[[#All],[aux]],0)</f>
        <v>519</v>
      </c>
      <c r="O507" t="str">
        <f>UPPER(GERENCIAS[[#This Row],[Gerente de obra]])</f>
        <v>SANCHEZ OSCAR</v>
      </c>
      <c r="R507" t="s">
        <v>1140</v>
      </c>
      <c r="S507" t="s">
        <v>682</v>
      </c>
      <c r="T507" t="s">
        <v>53</v>
      </c>
      <c r="W507" s="8" t="s">
        <v>1086</v>
      </c>
      <c r="X507" s="8" t="s">
        <v>1085</v>
      </c>
      <c r="Y507" s="8" t="s">
        <v>64</v>
      </c>
      <c r="Z507" t="str">
        <f t="shared" si="7"/>
        <v>COMISARIA VADMINISTRACION</v>
      </c>
      <c r="AA507" s="11" t="e">
        <f>MATCH(Tabla9[[#This Row],[AUX]],Loockup_ObrasGerencia[[#All],[aux]],0)</f>
        <v>#N/A</v>
      </c>
    </row>
    <row r="508" spans="1:27" x14ac:dyDescent="0.25">
      <c r="A508" s="30" t="s">
        <v>1061</v>
      </c>
      <c r="B508" s="30" t="s">
        <v>1060</v>
      </c>
      <c r="C508" s="30" t="s">
        <v>64</v>
      </c>
      <c r="D508" s="30" t="str" cm="1">
        <f t="array" ref="D508">UPPER(_xlfn.XLOOKUP(Loockup_ObrasGerencia[[#This Row],[OBRA_PRONTO]],Tabla7[[#All],[Obra]],Tabla7[[#All],[Gerente de obra]],"Sin Obra Asignada",0))</f>
        <v>BDL</v>
      </c>
      <c r="E508" s="31" t="str">
        <f>Loockup_ObrasGerencia[[#This Row],[OBRA_PRONTO]]&amp;Loockup_ObrasGerencia[[#This Row],[GERENCIA]]</f>
        <v>CAÑUELAS ACCEBDL</v>
      </c>
      <c r="H508" t="s">
        <v>1093</v>
      </c>
      <c r="I508" t="s">
        <v>1094</v>
      </c>
      <c r="J508" t="s">
        <v>1031</v>
      </c>
      <c r="K508" t="str">
        <f>Tabla7[[#This Row],[Obra]]&amp;Tabla7[[#This Row],[Gerente de obra]]</f>
        <v>ECHEVERRIA CABDL</v>
      </c>
      <c r="L508">
        <f>MATCH(Tabla7[[#This Row],[AUX]],Loockup_ObrasGerencia[[#All],[aux]],0)</f>
        <v>520</v>
      </c>
      <c r="O508" t="str">
        <f>UPPER(GERENCIAS[[#This Row],[Gerente de obra]])</f>
        <v>FRANCISCO DI LISIO</v>
      </c>
      <c r="R508" t="s">
        <v>1141</v>
      </c>
      <c r="S508" t="s">
        <v>1141</v>
      </c>
      <c r="T508" t="s">
        <v>78</v>
      </c>
      <c r="W508" s="8" t="s">
        <v>1142</v>
      </c>
      <c r="X508" s="8" t="s">
        <v>1143</v>
      </c>
      <c r="Y508" s="8" t="s">
        <v>64</v>
      </c>
      <c r="Z508" t="str">
        <f t="shared" si="7"/>
        <v>COMPRA VENTAADMINISTRACION</v>
      </c>
      <c r="AA508" s="11" t="e">
        <f>MATCH(Tabla9[[#This Row],[AUX]],Loockup_ObrasGerencia[[#All],[aux]],0)</f>
        <v>#N/A</v>
      </c>
    </row>
    <row r="509" spans="1:27" x14ac:dyDescent="0.25">
      <c r="A509" s="30" t="s">
        <v>1069</v>
      </c>
      <c r="B509" s="30" t="s">
        <v>1068</v>
      </c>
      <c r="C509" s="30" t="s">
        <v>64</v>
      </c>
      <c r="D509" s="30" t="str" cm="1">
        <f t="array" ref="D509">UPPER(_xlfn.XLOOKUP(Loockup_ObrasGerencia[[#This Row],[OBRA_PRONTO]],Tabla7[[#All],[Obra]],Tabla7[[#All],[Gerente de obra]],"Sin Obra Asignada",0))</f>
        <v>BDL</v>
      </c>
      <c r="E509" s="31" t="str">
        <f>Loockup_ObrasGerencia[[#This Row],[OBRA_PRONTO]]&amp;Loockup_ObrasGerencia[[#This Row],[GERENCIA]]</f>
        <v>CAÑUELAS VIALBDL</v>
      </c>
      <c r="H509" t="s">
        <v>1095</v>
      </c>
      <c r="I509" t="s">
        <v>1096</v>
      </c>
      <c r="J509" t="s">
        <v>1031</v>
      </c>
      <c r="K509" t="str">
        <f>Tabla7[[#This Row],[Obra]]&amp;Tabla7[[#This Row],[Gerente de obra]]</f>
        <v>ECHEVERRIA CEBDL</v>
      </c>
      <c r="L509">
        <f>MATCH(Tabla7[[#This Row],[AUX]],Loockup_ObrasGerencia[[#All],[aux]],0)</f>
        <v>521</v>
      </c>
      <c r="O509" t="str">
        <f>UPPER(GERENCIAS[[#This Row],[Gerente de obra]])</f>
        <v>BDL</v>
      </c>
      <c r="R509" t="s">
        <v>1144</v>
      </c>
      <c r="S509" t="s">
        <v>1144</v>
      </c>
      <c r="T509" t="s">
        <v>1031</v>
      </c>
      <c r="W509" s="8" t="s">
        <v>1090</v>
      </c>
      <c r="X509" s="8" t="s">
        <v>1089</v>
      </c>
      <c r="Y509" s="8" t="s">
        <v>64</v>
      </c>
      <c r="Z509" t="str">
        <f t="shared" si="7"/>
        <v>COUNTRY ECHEVADMINISTRACION</v>
      </c>
      <c r="AA509" s="11" t="e">
        <f>MATCH(Tabla9[[#This Row],[AUX]],Loockup_ObrasGerencia[[#All],[aux]],0)</f>
        <v>#N/A</v>
      </c>
    </row>
    <row r="510" spans="1:27" x14ac:dyDescent="0.25">
      <c r="A510" s="30" t="s">
        <v>1072</v>
      </c>
      <c r="B510" s="30" t="s">
        <v>1072</v>
      </c>
      <c r="C510" s="30" t="s">
        <v>64</v>
      </c>
      <c r="D510" s="30" t="str" cm="1">
        <f t="array" ref="D510">UPPER(_xlfn.XLOOKUP(Loockup_ObrasGerencia[[#This Row],[OBRA_PRONTO]],Tabla7[[#All],[Obra]],Tabla7[[#All],[Gerente de obra]],"Sin Obra Asignada",0))</f>
        <v>BDL</v>
      </c>
      <c r="E510" s="31" t="str">
        <f>Loockup_ObrasGerencia[[#This Row],[OBRA_PRONTO]]&amp;Loockup_ObrasGerencia[[#This Row],[GERENCIA]]</f>
        <v>CARRETONBDL</v>
      </c>
      <c r="H510" t="s">
        <v>1098</v>
      </c>
      <c r="I510" t="s">
        <v>1099</v>
      </c>
      <c r="J510" t="s">
        <v>1031</v>
      </c>
      <c r="K510" t="str">
        <f>Tabla7[[#This Row],[Obra]]&amp;Tabla7[[#This Row],[Gerente de obra]]</f>
        <v>ECHEVERRIA ELBDL</v>
      </c>
      <c r="L510">
        <f>MATCH(Tabla7[[#This Row],[AUX]],Loockup_ObrasGerencia[[#All],[aux]],0)</f>
        <v>522</v>
      </c>
      <c r="O510" t="str">
        <f>UPPER(GERENCIAS[[#This Row],[Gerente de obra]])</f>
        <v>BDL</v>
      </c>
      <c r="R510" t="s">
        <v>1145</v>
      </c>
      <c r="S510" t="s">
        <v>1145</v>
      </c>
      <c r="T510" t="s">
        <v>1031</v>
      </c>
      <c r="W510" s="8" t="s">
        <v>1119</v>
      </c>
      <c r="X510" s="8" t="s">
        <v>1118</v>
      </c>
      <c r="Y510" s="8" t="s">
        <v>64</v>
      </c>
      <c r="Z510" t="str">
        <f t="shared" si="7"/>
        <v>DAVID-GUSTAVADMINISTRACION</v>
      </c>
      <c r="AA510" s="11" t="e">
        <f>MATCH(Tabla9[[#This Row],[AUX]],Loockup_ObrasGerencia[[#All],[aux]],0)</f>
        <v>#N/A</v>
      </c>
    </row>
    <row r="511" spans="1:27" x14ac:dyDescent="0.25">
      <c r="A511" s="30" t="s">
        <v>243</v>
      </c>
      <c r="B511" s="30" t="s">
        <v>243</v>
      </c>
      <c r="C511" s="30" t="s">
        <v>17</v>
      </c>
      <c r="D511" s="30" t="str" cm="1">
        <f t="array" ref="D511">UPPER(_xlfn.XLOOKUP(Loockup_ObrasGerencia[[#This Row],[OBRA_PRONTO]],Tabla7[[#All],[Obra]],Tabla7[[#All],[Gerente de obra]],"Sin Obra Asignada",0))</f>
        <v>CATRIEL GISELA</v>
      </c>
      <c r="E511" s="31" t="str">
        <f>Loockup_ObrasGerencia[[#This Row],[OBRA_PRONTO]]&amp;Loockup_ObrasGerencia[[#This Row],[GERENCIA]]</f>
        <v>CATRIEL GISELACATRIEL GISELA</v>
      </c>
      <c r="H511" t="s">
        <v>1100</v>
      </c>
      <c r="I511" t="s">
        <v>1101</v>
      </c>
      <c r="J511" t="s">
        <v>1031</v>
      </c>
      <c r="K511" t="str">
        <f>Tabla7[[#This Row],[Obra]]&amp;Tabla7[[#This Row],[Gerente de obra]]</f>
        <v>ECHEVERRIA SEBDL</v>
      </c>
      <c r="L511">
        <f>MATCH(Tabla7[[#This Row],[AUX]],Loockup_ObrasGerencia[[#All],[aux]],0)</f>
        <v>523</v>
      </c>
      <c r="O511" t="str">
        <f>UPPER(GERENCIAS[[#This Row],[Gerente de obra]])</f>
        <v>BDL</v>
      </c>
      <c r="R511" t="s">
        <v>1146</v>
      </c>
      <c r="S511" t="s">
        <v>1147</v>
      </c>
      <c r="T511" t="s">
        <v>1031</v>
      </c>
      <c r="W511" s="8" t="s">
        <v>1091</v>
      </c>
      <c r="X511" s="8" t="s">
        <v>1091</v>
      </c>
      <c r="Y511" s="8" t="s">
        <v>17</v>
      </c>
      <c r="Z511" t="str">
        <f t="shared" si="7"/>
        <v>DEUDA INTERLOGSI</v>
      </c>
      <c r="AA511" s="11" t="e">
        <f>MATCH(Tabla9[[#This Row],[AUX]],Loockup_ObrasGerencia[[#All],[aux]],0)</f>
        <v>#N/A</v>
      </c>
    </row>
    <row r="512" spans="1:27" x14ac:dyDescent="0.25">
      <c r="A512" s="30" t="s">
        <v>1079</v>
      </c>
      <c r="B512" s="30" t="s">
        <v>1078</v>
      </c>
      <c r="C512" s="30" t="s">
        <v>64</v>
      </c>
      <c r="D512" s="30" t="str" cm="1">
        <f t="array" ref="D512">UPPER(_xlfn.XLOOKUP(Loockup_ObrasGerencia[[#This Row],[OBRA_PRONTO]],Tabla7[[#All],[Obra]],Tabla7[[#All],[Gerente de obra]],"Sin Obra Asignada",0))</f>
        <v>BDL</v>
      </c>
      <c r="E512" s="31" t="str">
        <f>Loockup_ObrasGerencia[[#This Row],[OBRA_PRONTO]]&amp;Loockup_ObrasGerencia[[#This Row],[GERENCIA]]</f>
        <v>CITY BELL MUNBDL</v>
      </c>
      <c r="H512" t="s">
        <v>1102</v>
      </c>
      <c r="I512" t="s">
        <v>1102</v>
      </c>
      <c r="J512" t="s">
        <v>1031</v>
      </c>
      <c r="K512" t="str">
        <f>Tabla7[[#This Row],[Obra]]&amp;Tabla7[[#This Row],[Gerente de obra]]</f>
        <v>EDESURBDL</v>
      </c>
      <c r="L512">
        <f>MATCH(Tabla7[[#This Row],[AUX]],Loockup_ObrasGerencia[[#All],[aux]],0)</f>
        <v>524</v>
      </c>
      <c r="O512" t="str">
        <f>UPPER(GERENCIAS[[#This Row],[Gerente de obra]])</f>
        <v>BDL</v>
      </c>
      <c r="R512" t="s">
        <v>1148</v>
      </c>
      <c r="S512" t="s">
        <v>1149</v>
      </c>
      <c r="T512" t="s">
        <v>1031</v>
      </c>
      <c r="W512" s="8" t="s">
        <v>1092</v>
      </c>
      <c r="X512" s="8" t="s">
        <v>1092</v>
      </c>
      <c r="Y512" s="8" t="s">
        <v>64</v>
      </c>
      <c r="Z512" t="str">
        <f t="shared" si="7"/>
        <v>DORREGOADMINISTRACION</v>
      </c>
      <c r="AA512" s="11" t="e">
        <f>MATCH(Tabla9[[#This Row],[AUX]],Loockup_ObrasGerencia[[#All],[aux]],0)</f>
        <v>#N/A</v>
      </c>
    </row>
    <row r="513" spans="1:27" x14ac:dyDescent="0.25">
      <c r="A513" s="30" t="s">
        <v>1082</v>
      </c>
      <c r="B513" s="30" t="s">
        <v>1082</v>
      </c>
      <c r="C513" s="30" t="s">
        <v>64</v>
      </c>
      <c r="D513" s="30" t="str" cm="1">
        <f t="array" ref="D513">UPPER(_xlfn.XLOOKUP(Loockup_ObrasGerencia[[#This Row],[OBRA_PRONTO]],Tabla7[[#All],[Obra]],Tabla7[[#All],[Gerente de obra]],"Sin Obra Asignada",0))</f>
        <v>BDL</v>
      </c>
      <c r="E513" s="31" t="str">
        <f>Loockup_ObrasGerencia[[#This Row],[OBRA_PRONTO]]&amp;Loockup_ObrasGerencia[[#This Row],[GERENCIA]]</f>
        <v>COCI S.ABDL</v>
      </c>
      <c r="H513" t="s">
        <v>1103</v>
      </c>
      <c r="I513" t="s">
        <v>1104</v>
      </c>
      <c r="J513" t="s">
        <v>52</v>
      </c>
      <c r="K513" t="str">
        <f>Tabla7[[#This Row],[Obra]]&amp;Tabla7[[#This Row],[Gerente de obra]]</f>
        <v>EDESUR NUEVOSSanchez Oscar</v>
      </c>
      <c r="L513">
        <f>MATCH(Tabla7[[#This Row],[AUX]],Loockup_ObrasGerencia[[#All],[aux]],0)</f>
        <v>525</v>
      </c>
      <c r="O513" t="str">
        <f>UPPER(GERENCIAS[[#This Row],[Gerente de obra]])</f>
        <v>BDL</v>
      </c>
      <c r="R513" t="s">
        <v>1150</v>
      </c>
      <c r="S513" t="s">
        <v>1151</v>
      </c>
      <c r="T513" t="s">
        <v>1031</v>
      </c>
      <c r="W513" s="8" t="s">
        <v>1094</v>
      </c>
      <c r="X513" s="8" t="s">
        <v>1093</v>
      </c>
      <c r="Y513" s="8" t="s">
        <v>64</v>
      </c>
      <c r="Z513" t="str">
        <f t="shared" si="7"/>
        <v>ECHEVERRIA CAADMINISTRACION</v>
      </c>
      <c r="AA513" s="11" t="e">
        <f>MATCH(Tabla9[[#This Row],[AUX]],Loockup_ObrasGerencia[[#All],[aux]],0)</f>
        <v>#N/A</v>
      </c>
    </row>
    <row r="514" spans="1:27" x14ac:dyDescent="0.25">
      <c r="A514" s="30" t="s">
        <v>1086</v>
      </c>
      <c r="B514" s="30" t="s">
        <v>1085</v>
      </c>
      <c r="C514" s="30" t="s">
        <v>64</v>
      </c>
      <c r="D514" s="30" t="str" cm="1">
        <f t="array" ref="D514">UPPER(_xlfn.XLOOKUP(Loockup_ObrasGerencia[[#This Row],[OBRA_PRONTO]],Tabla7[[#All],[Obra]],Tabla7[[#All],[Gerente de obra]],"Sin Obra Asignada",0))</f>
        <v>BDL</v>
      </c>
      <c r="E514" s="31" t="str">
        <f>Loockup_ObrasGerencia[[#This Row],[OBRA_PRONTO]]&amp;Loockup_ObrasGerencia[[#This Row],[GERENCIA]]</f>
        <v>COMISARIA VBDL</v>
      </c>
      <c r="H514" t="s">
        <v>1107</v>
      </c>
      <c r="I514" t="s">
        <v>1108</v>
      </c>
      <c r="J514" t="s">
        <v>1031</v>
      </c>
      <c r="K514" t="str">
        <f>Tabla7[[#This Row],[Obra]]&amp;Tabla7[[#This Row],[Gerente de obra]]</f>
        <v>ENSENADA HOSPBDL</v>
      </c>
      <c r="L514">
        <f>MATCH(Tabla7[[#This Row],[AUX]],Loockup_ObrasGerencia[[#All],[aux]],0)</f>
        <v>526</v>
      </c>
      <c r="O514" t="str">
        <f>UPPER(GERENCIAS[[#This Row],[Gerente de obra]])</f>
        <v>BDL</v>
      </c>
      <c r="R514" t="s">
        <v>1152</v>
      </c>
      <c r="S514" t="s">
        <v>1152</v>
      </c>
      <c r="T514" t="s">
        <v>1031</v>
      </c>
      <c r="W514" s="8" t="s">
        <v>1096</v>
      </c>
      <c r="X514" s="8" t="s">
        <v>1095</v>
      </c>
      <c r="Y514" s="8" t="s">
        <v>64</v>
      </c>
      <c r="Z514" t="str">
        <f t="shared" ref="Z514:Z574" si="8">X514&amp;Y514</f>
        <v>ECHEVERRIA CEADMINISTRACION</v>
      </c>
      <c r="AA514" s="11" t="e">
        <f>MATCH(Tabla9[[#This Row],[AUX]],Loockup_ObrasGerencia[[#All],[aux]],0)</f>
        <v>#N/A</v>
      </c>
    </row>
    <row r="515" spans="1:27" x14ac:dyDescent="0.25">
      <c r="A515" s="30" t="s">
        <v>1142</v>
      </c>
      <c r="B515" s="30" t="s">
        <v>1143</v>
      </c>
      <c r="C515" s="30" t="s">
        <v>64</v>
      </c>
      <c r="D515" s="30" t="str" cm="1">
        <f t="array" ref="D515">UPPER(_xlfn.XLOOKUP(Loockup_ObrasGerencia[[#This Row],[OBRA_PRONTO]],Tabla7[[#All],[Obra]],Tabla7[[#All],[Gerente de obra]],"Sin Obra Asignada",0))</f>
        <v>SIN OBRA ASIGNADA</v>
      </c>
      <c r="E515" s="31" t="str">
        <f>Loockup_ObrasGerencia[[#This Row],[OBRA_PRONTO]]&amp;Loockup_ObrasGerencia[[#This Row],[GERENCIA]]</f>
        <v>COMPRA VENTASIN OBRA ASIGNADA</v>
      </c>
      <c r="H515" t="s">
        <v>1109</v>
      </c>
      <c r="I515" t="s">
        <v>1110</v>
      </c>
      <c r="J515" t="s">
        <v>1031</v>
      </c>
      <c r="K515" t="str">
        <f>Tabla7[[#This Row],[Obra]]&amp;Tabla7[[#This Row],[Gerente de obra]]</f>
        <v>FCIO VAR HOCBDL</v>
      </c>
      <c r="L515">
        <f>MATCH(Tabla7[[#This Row],[AUX]],Loockup_ObrasGerencia[[#All],[aux]],0)</f>
        <v>527</v>
      </c>
      <c r="O515" t="str">
        <f>UPPER(GERENCIAS[[#This Row],[Gerente de obra]])</f>
        <v>BDL</v>
      </c>
      <c r="R515" t="s">
        <v>1153</v>
      </c>
      <c r="S515" t="s">
        <v>1153</v>
      </c>
      <c r="T515" t="s">
        <v>1031</v>
      </c>
      <c r="W515" s="8" t="s">
        <v>1099</v>
      </c>
      <c r="X515" s="8" t="s">
        <v>1098</v>
      </c>
      <c r="Y515" s="8" t="s">
        <v>64</v>
      </c>
      <c r="Z515" t="str">
        <f t="shared" si="8"/>
        <v>ECHEVERRIA ELADMINISTRACION</v>
      </c>
      <c r="AA515" s="11" t="e">
        <f>MATCH(Tabla9[[#This Row],[AUX]],Loockup_ObrasGerencia[[#All],[aux]],0)</f>
        <v>#N/A</v>
      </c>
    </row>
    <row r="516" spans="1:27" x14ac:dyDescent="0.25">
      <c r="A516" s="30" t="s">
        <v>1090</v>
      </c>
      <c r="B516" s="30" t="s">
        <v>1089</v>
      </c>
      <c r="C516" s="30" t="s">
        <v>64</v>
      </c>
      <c r="D516" s="30" t="str" cm="1">
        <f t="array" ref="D516">UPPER(_xlfn.XLOOKUP(Loockup_ObrasGerencia[[#This Row],[OBRA_PRONTO]],Tabla7[[#All],[Obra]],Tabla7[[#All],[Gerente de obra]],"Sin Obra Asignada",0))</f>
        <v>BDL</v>
      </c>
      <c r="E516" s="31" t="str">
        <f>Loockup_ObrasGerencia[[#This Row],[OBRA_PRONTO]]&amp;Loockup_ObrasGerencia[[#This Row],[GERENCIA]]</f>
        <v>COUNTRY ECHEVBDL</v>
      </c>
      <c r="H516" t="s">
        <v>1111</v>
      </c>
      <c r="I516" t="s">
        <v>1111</v>
      </c>
      <c r="J516" t="s">
        <v>1031</v>
      </c>
      <c r="K516" t="str">
        <f>Tabla7[[#This Row],[Obra]]&amp;Tabla7[[#This Row],[Gerente de obra]]</f>
        <v>GAHAN SPARBDL</v>
      </c>
      <c r="L516">
        <f>MATCH(Tabla7[[#This Row],[AUX]],Loockup_ObrasGerencia[[#All],[aux]],0)</f>
        <v>528</v>
      </c>
      <c r="O516" t="str">
        <f>UPPER(GERENCIAS[[#This Row],[Gerente de obra]])</f>
        <v>BDL</v>
      </c>
      <c r="R516" t="s">
        <v>1154</v>
      </c>
      <c r="S516" t="s">
        <v>1154</v>
      </c>
      <c r="T516" t="s">
        <v>1031</v>
      </c>
      <c r="W516" s="8" t="s">
        <v>1101</v>
      </c>
      <c r="X516" s="8" t="s">
        <v>1100</v>
      </c>
      <c r="Y516" s="8" t="s">
        <v>64</v>
      </c>
      <c r="Z516" t="str">
        <f t="shared" si="8"/>
        <v>ECHEVERRIA SEADMINISTRACION</v>
      </c>
      <c r="AA516" s="11" t="e">
        <f>MATCH(Tabla9[[#This Row],[AUX]],Loockup_ObrasGerencia[[#All],[aux]],0)</f>
        <v>#N/A</v>
      </c>
    </row>
    <row r="517" spans="1:27" x14ac:dyDescent="0.25">
      <c r="A517" s="30" t="s">
        <v>1119</v>
      </c>
      <c r="B517" s="30" t="s">
        <v>1118</v>
      </c>
      <c r="C517" s="30" t="s">
        <v>64</v>
      </c>
      <c r="D517" s="30" t="str" cm="1">
        <f t="array" ref="D517">UPPER(_xlfn.XLOOKUP(Loockup_ObrasGerencia[[#This Row],[OBRA_PRONTO]],Tabla7[[#All],[Obra]],Tabla7[[#All],[Gerente de obra]],"Sin Obra Asignada",0))</f>
        <v>FRANCISCO DI LISIO</v>
      </c>
      <c r="E517" s="31" t="str">
        <f>Loockup_ObrasGerencia[[#This Row],[OBRA_PRONTO]]&amp;Loockup_ObrasGerencia[[#This Row],[GERENCIA]]</f>
        <v>DAVID-GUSTAVFRANCISCO DI LISIO</v>
      </c>
      <c r="H517" t="s">
        <v>1112</v>
      </c>
      <c r="I517" t="s">
        <v>1113</v>
      </c>
      <c r="J517" t="s">
        <v>1031</v>
      </c>
      <c r="K517" t="str">
        <f>Tabla7[[#This Row],[Obra]]&amp;Tabla7[[#This Row],[Gerente de obra]]</f>
        <v>GENERAL VILLEBDL</v>
      </c>
      <c r="L517">
        <f>MATCH(Tabla7[[#This Row],[AUX]],Loockup_ObrasGerencia[[#All],[aux]],0)</f>
        <v>529</v>
      </c>
      <c r="O517" t="str">
        <f>UPPER(GERENCIAS[[#This Row],[Gerente de obra]])</f>
        <v>BDL</v>
      </c>
      <c r="R517" t="s">
        <v>1155</v>
      </c>
      <c r="S517" t="s">
        <v>1155</v>
      </c>
      <c r="T517" t="s">
        <v>1031</v>
      </c>
      <c r="W517" s="8" t="s">
        <v>1102</v>
      </c>
      <c r="X517" s="8" t="s">
        <v>1102</v>
      </c>
      <c r="Y517" s="8" t="s">
        <v>64</v>
      </c>
      <c r="Z517" t="str">
        <f t="shared" si="8"/>
        <v>EDESURADMINISTRACION</v>
      </c>
      <c r="AA517" s="11" t="e">
        <f>MATCH(Tabla9[[#This Row],[AUX]],Loockup_ObrasGerencia[[#All],[aux]],0)</f>
        <v>#N/A</v>
      </c>
    </row>
    <row r="518" spans="1:27" x14ac:dyDescent="0.25">
      <c r="A518" s="30" t="s">
        <v>1091</v>
      </c>
      <c r="B518" s="30" t="s">
        <v>1091</v>
      </c>
      <c r="C518" s="30" t="s">
        <v>17</v>
      </c>
      <c r="D518" s="30" t="str" cm="1">
        <f t="array" ref="D518">UPPER(_xlfn.XLOOKUP(Loockup_ObrasGerencia[[#This Row],[OBRA_PRONTO]],Tabla7[[#All],[Obra]],Tabla7[[#All],[Gerente de obra]],"Sin Obra Asignada",0))</f>
        <v>FRANCISCO DI LISIO</v>
      </c>
      <c r="E518" s="31" t="str">
        <f>Loockup_ObrasGerencia[[#This Row],[OBRA_PRONTO]]&amp;Loockup_ObrasGerencia[[#This Row],[GERENCIA]]</f>
        <v>DEUDA INTERLOGFRANCISCO DI LISIO</v>
      </c>
      <c r="H518" t="s">
        <v>1115</v>
      </c>
      <c r="I518" t="s">
        <v>1115</v>
      </c>
      <c r="J518" t="s">
        <v>191</v>
      </c>
      <c r="K518" t="str">
        <f>Tabla7[[#This Row],[Obra]]&amp;Tabla7[[#This Row],[Gerente de obra]]</f>
        <v>GONZALO, SILVADiego Aguirre</v>
      </c>
      <c r="L518">
        <f>MATCH(Tabla7[[#This Row],[AUX]],Loockup_ObrasGerencia[[#All],[aux]],0)</f>
        <v>530</v>
      </c>
      <c r="O518" t="str">
        <f>UPPER(GERENCIAS[[#This Row],[Gerente de obra]])</f>
        <v>BDL</v>
      </c>
      <c r="R518" t="s">
        <v>1156</v>
      </c>
      <c r="S518" t="s">
        <v>1157</v>
      </c>
      <c r="T518" t="s">
        <v>1031</v>
      </c>
      <c r="W518" s="8" t="s">
        <v>1104</v>
      </c>
      <c r="X518" s="8" t="s">
        <v>1103</v>
      </c>
      <c r="Y518" s="8" t="s">
        <v>64</v>
      </c>
      <c r="Z518" t="str">
        <f t="shared" si="8"/>
        <v>EDESUR NUEVOSADMINISTRACION</v>
      </c>
      <c r="AA518" s="11" t="e">
        <f>MATCH(Tabla9[[#This Row],[AUX]],Loockup_ObrasGerencia[[#All],[aux]],0)</f>
        <v>#N/A</v>
      </c>
    </row>
    <row r="519" spans="1:27" x14ac:dyDescent="0.25">
      <c r="A519" s="30" t="s">
        <v>1092</v>
      </c>
      <c r="B519" s="30" t="s">
        <v>1092</v>
      </c>
      <c r="C519" s="30" t="s">
        <v>64</v>
      </c>
      <c r="D519" s="30" t="str" cm="1">
        <f t="array" ref="D519">UPPER(_xlfn.XLOOKUP(Loockup_ObrasGerencia[[#This Row],[OBRA_PRONTO]],Tabla7[[#All],[Obra]],Tabla7[[#All],[Gerente de obra]],"Sin Obra Asignada",0))</f>
        <v>BDL</v>
      </c>
      <c r="E519" s="31" t="str">
        <f>Loockup_ObrasGerencia[[#This Row],[OBRA_PRONTO]]&amp;Loockup_ObrasGerencia[[#This Row],[GERENCIA]]</f>
        <v>DORREGOBDL</v>
      </c>
      <c r="H519" t="s">
        <v>1116</v>
      </c>
      <c r="I519" t="s">
        <v>1116</v>
      </c>
      <c r="J519" t="s">
        <v>79</v>
      </c>
      <c r="K519" t="str">
        <f>Tabla7[[#This Row],[Obra]]&amp;Tabla7[[#This Row],[Gerente de obra]]</f>
        <v>HYDRAFrancisco Di Lisio</v>
      </c>
      <c r="L519">
        <f>MATCH(Tabla7[[#This Row],[AUX]],Loockup_ObrasGerencia[[#All],[aux]],0)</f>
        <v>531</v>
      </c>
      <c r="O519" t="str">
        <f>UPPER(GERENCIAS[[#This Row],[Gerente de obra]])</f>
        <v>BDL</v>
      </c>
      <c r="R519" t="s">
        <v>1158</v>
      </c>
      <c r="S519" t="s">
        <v>1159</v>
      </c>
      <c r="T519" t="s">
        <v>1031</v>
      </c>
      <c r="W519" s="8" t="s">
        <v>1108</v>
      </c>
      <c r="X519" s="8" t="s">
        <v>1107</v>
      </c>
      <c r="Y519" s="8" t="s">
        <v>64</v>
      </c>
      <c r="Z519" t="str">
        <f t="shared" si="8"/>
        <v>ENSENADA HOSPADMINISTRACION</v>
      </c>
      <c r="AA519" s="11" t="e">
        <f>MATCH(Tabla9[[#This Row],[AUX]],Loockup_ObrasGerencia[[#All],[aux]],0)</f>
        <v>#N/A</v>
      </c>
    </row>
    <row r="520" spans="1:27" x14ac:dyDescent="0.25">
      <c r="A520" s="30" t="s">
        <v>1094</v>
      </c>
      <c r="B520" s="30" t="s">
        <v>1093</v>
      </c>
      <c r="C520" s="30" t="s">
        <v>64</v>
      </c>
      <c r="D520" s="30" t="str" cm="1">
        <f t="array" ref="D520">UPPER(_xlfn.XLOOKUP(Loockup_ObrasGerencia[[#This Row],[OBRA_PRONTO]],Tabla7[[#All],[Obra]],Tabla7[[#All],[Gerente de obra]],"Sin Obra Asignada",0))</f>
        <v>BDL</v>
      </c>
      <c r="E520" s="31" t="str">
        <f>Loockup_ObrasGerencia[[#This Row],[OBRA_PRONTO]]&amp;Loockup_ObrasGerencia[[#This Row],[GERENCIA]]</f>
        <v>ECHEVERRIA CABDL</v>
      </c>
      <c r="H520" t="s">
        <v>711</v>
      </c>
      <c r="I520" t="s">
        <v>1117</v>
      </c>
      <c r="J520" t="s">
        <v>79</v>
      </c>
      <c r="K520" t="str">
        <f>Tabla7[[#This Row],[Obra]]&amp;Tabla7[[#This Row],[Gerente de obra]]</f>
        <v>IMPUESTOSFrancisco Di Lisio</v>
      </c>
      <c r="L520" t="e">
        <f>MATCH(Tabla7[[#This Row],[AUX]],Loockup_ObrasGerencia[[#All],[aux]],0)</f>
        <v>#N/A</v>
      </c>
      <c r="O520" t="str">
        <f>UPPER(GERENCIAS[[#This Row],[Gerente de obra]])</f>
        <v>REPETTO ERNESTO</v>
      </c>
      <c r="R520" t="s">
        <v>1160</v>
      </c>
      <c r="S520" t="s">
        <v>1160</v>
      </c>
      <c r="T520" t="s">
        <v>1160</v>
      </c>
      <c r="W520" s="8" t="s">
        <v>1110</v>
      </c>
      <c r="X520" s="8" t="s">
        <v>1109</v>
      </c>
      <c r="Y520" s="8" t="s">
        <v>64</v>
      </c>
      <c r="Z520" t="str">
        <f t="shared" si="8"/>
        <v>FCIO VAR HOCADMINISTRACION</v>
      </c>
      <c r="AA520" s="11" t="e">
        <f>MATCH(Tabla9[[#This Row],[AUX]],Loockup_ObrasGerencia[[#All],[aux]],0)</f>
        <v>#N/A</v>
      </c>
    </row>
    <row r="521" spans="1:27" x14ac:dyDescent="0.25">
      <c r="A521" s="30" t="s">
        <v>1096</v>
      </c>
      <c r="B521" s="30" t="s">
        <v>1095</v>
      </c>
      <c r="C521" s="30" t="s">
        <v>64</v>
      </c>
      <c r="D521" s="30" t="str" cm="1">
        <f t="array" ref="D521">UPPER(_xlfn.XLOOKUP(Loockup_ObrasGerencia[[#This Row],[OBRA_PRONTO]],Tabla7[[#All],[Obra]],Tabla7[[#All],[Gerente de obra]],"Sin Obra Asignada",0))</f>
        <v>BDL</v>
      </c>
      <c r="E521" s="31" t="str">
        <f>Loockup_ObrasGerencia[[#This Row],[OBRA_PRONTO]]&amp;Loockup_ObrasGerencia[[#This Row],[GERENCIA]]</f>
        <v>ECHEVERRIA CEBDL</v>
      </c>
      <c r="H521" t="s">
        <v>1170</v>
      </c>
      <c r="I521" t="s">
        <v>1170</v>
      </c>
      <c r="J521" t="s">
        <v>1401</v>
      </c>
      <c r="K521" t="str">
        <f>Tabla7[[#This Row],[Obra]]&amp;Tabla7[[#This Row],[Gerente de obra]]</f>
        <v>JAIMOT CELESTESIN ASIGNACION</v>
      </c>
      <c r="L521">
        <f>MATCH(Tabla7[[#This Row],[AUX]],Loockup_ObrasGerencia[[#All],[aux]],0)</f>
        <v>534</v>
      </c>
      <c r="O521" t="str">
        <f>UPPER(GERENCIAS[[#This Row],[Gerente de obra]])</f>
        <v>BDL</v>
      </c>
      <c r="R521" t="s">
        <v>1161</v>
      </c>
      <c r="S521" t="s">
        <v>1162</v>
      </c>
      <c r="T521" t="s">
        <v>1031</v>
      </c>
      <c r="W521" s="8" t="s">
        <v>1111</v>
      </c>
      <c r="X521" s="8" t="s">
        <v>1111</v>
      </c>
      <c r="Y521" s="8" t="s">
        <v>64</v>
      </c>
      <c r="Z521" t="str">
        <f t="shared" si="8"/>
        <v>GAHAN SPARADMINISTRACION</v>
      </c>
      <c r="AA521" s="11" t="e">
        <f>MATCH(Tabla9[[#This Row],[AUX]],Loockup_ObrasGerencia[[#All],[aux]],0)</f>
        <v>#N/A</v>
      </c>
    </row>
    <row r="522" spans="1:27" x14ac:dyDescent="0.25">
      <c r="A522" s="30" t="s">
        <v>1099</v>
      </c>
      <c r="B522" s="30" t="s">
        <v>1098</v>
      </c>
      <c r="C522" s="30" t="s">
        <v>64</v>
      </c>
      <c r="D522" s="30" t="str" cm="1">
        <f t="array" ref="D522">UPPER(_xlfn.XLOOKUP(Loockup_ObrasGerencia[[#This Row],[OBRA_PRONTO]],Tabla7[[#All],[Obra]],Tabla7[[#All],[Gerente de obra]],"Sin Obra Asignada",0))</f>
        <v>BDL</v>
      </c>
      <c r="E522" s="31" t="str">
        <f>Loockup_ObrasGerencia[[#This Row],[OBRA_PRONTO]]&amp;Loockup_ObrasGerencia[[#This Row],[GERENCIA]]</f>
        <v>ECHEVERRIA ELBDL</v>
      </c>
      <c r="H522" t="s">
        <v>1120</v>
      </c>
      <c r="I522" t="s">
        <v>1121</v>
      </c>
      <c r="J522" t="s">
        <v>1031</v>
      </c>
      <c r="K522" t="str">
        <f>Tabla7[[#This Row],[Obra]]&amp;Tabla7[[#This Row],[Gerente de obra]]</f>
        <v>JOSE C PAZBDL</v>
      </c>
      <c r="L522">
        <f>MATCH(Tabla7[[#This Row],[AUX]],Loockup_ObrasGerencia[[#All],[aux]],0)</f>
        <v>535</v>
      </c>
      <c r="O522" t="str">
        <f>UPPER(GERENCIAS[[#This Row],[Gerente de obra]])</f>
        <v>BDL</v>
      </c>
      <c r="R522" t="s">
        <v>1163</v>
      </c>
      <c r="S522" t="s">
        <v>1163</v>
      </c>
      <c r="T522" t="s">
        <v>1031</v>
      </c>
      <c r="W522" s="8" t="s">
        <v>1113</v>
      </c>
      <c r="X522" s="8" t="s">
        <v>1112</v>
      </c>
      <c r="Y522" s="8" t="s">
        <v>64</v>
      </c>
      <c r="Z522" t="str">
        <f t="shared" si="8"/>
        <v>GENERAL VILLEADMINISTRACION</v>
      </c>
      <c r="AA522" s="11" t="e">
        <f>MATCH(Tabla9[[#This Row],[AUX]],Loockup_ObrasGerencia[[#All],[aux]],0)</f>
        <v>#N/A</v>
      </c>
    </row>
    <row r="523" spans="1:27" x14ac:dyDescent="0.25">
      <c r="A523" s="30" t="s">
        <v>1101</v>
      </c>
      <c r="B523" s="30" t="s">
        <v>1100</v>
      </c>
      <c r="C523" s="30" t="s">
        <v>64</v>
      </c>
      <c r="D523" s="30" t="str" cm="1">
        <f t="array" ref="D523">UPPER(_xlfn.XLOOKUP(Loockup_ObrasGerencia[[#This Row],[OBRA_PRONTO]],Tabla7[[#All],[Obra]],Tabla7[[#All],[Gerente de obra]],"Sin Obra Asignada",0))</f>
        <v>BDL</v>
      </c>
      <c r="E523" s="31" t="str">
        <f>Loockup_ObrasGerencia[[#This Row],[OBRA_PRONTO]]&amp;Loockup_ObrasGerencia[[#This Row],[GERENCIA]]</f>
        <v>ECHEVERRIA SEBDL</v>
      </c>
      <c r="H523" t="s">
        <v>1122</v>
      </c>
      <c r="I523" t="s">
        <v>1123</v>
      </c>
      <c r="J523" t="s">
        <v>1031</v>
      </c>
      <c r="K523" t="str">
        <f>Tabla7[[#This Row],[Obra]]&amp;Tabla7[[#This Row],[Gerente de obra]]</f>
        <v>LA MATANZA PABDL</v>
      </c>
      <c r="L523">
        <f>MATCH(Tabla7[[#This Row],[AUX]],Loockup_ObrasGerencia[[#All],[aux]],0)</f>
        <v>536</v>
      </c>
      <c r="O523" t="str">
        <f>UPPER(GERENCIAS[[#This Row],[Gerente de obra]])</f>
        <v>BDL</v>
      </c>
      <c r="R523" t="s">
        <v>1164</v>
      </c>
      <c r="S523" t="s">
        <v>1165</v>
      </c>
      <c r="T523" t="s">
        <v>1031</v>
      </c>
      <c r="W523" s="8" t="s">
        <v>1115</v>
      </c>
      <c r="X523" s="8" t="s">
        <v>1115</v>
      </c>
      <c r="Y523" s="8" t="s">
        <v>17</v>
      </c>
      <c r="Z523" t="str">
        <f t="shared" si="8"/>
        <v>GONZALO, SILVASI</v>
      </c>
      <c r="AA523" s="11" t="e">
        <f>MATCH(Tabla9[[#This Row],[AUX]],Loockup_ObrasGerencia[[#All],[aux]],0)</f>
        <v>#N/A</v>
      </c>
    </row>
    <row r="524" spans="1:27" x14ac:dyDescent="0.25">
      <c r="A524" s="30" t="s">
        <v>1102</v>
      </c>
      <c r="B524" s="30" t="s">
        <v>1102</v>
      </c>
      <c r="C524" s="30" t="s">
        <v>64</v>
      </c>
      <c r="D524" s="30" t="str" cm="1">
        <f t="array" ref="D524">UPPER(_xlfn.XLOOKUP(Loockup_ObrasGerencia[[#This Row],[OBRA_PRONTO]],Tabla7[[#All],[Obra]],Tabla7[[#All],[Gerente de obra]],"Sin Obra Asignada",0))</f>
        <v>BDL</v>
      </c>
      <c r="E524" s="31" t="str">
        <f>Loockup_ObrasGerencia[[#This Row],[OBRA_PRONTO]]&amp;Loockup_ObrasGerencia[[#This Row],[GERENCIA]]</f>
        <v>EDESURBDL</v>
      </c>
      <c r="H524" t="s">
        <v>1125</v>
      </c>
      <c r="I524" t="s">
        <v>1126</v>
      </c>
      <c r="J524" t="s">
        <v>1031</v>
      </c>
      <c r="K524" t="str">
        <f>Tabla7[[#This Row],[Obra]]&amp;Tabla7[[#This Row],[Gerente de obra]]</f>
        <v>LA MATANZA PRBDL</v>
      </c>
      <c r="L524">
        <f>MATCH(Tabla7[[#This Row],[AUX]],Loockup_ObrasGerencia[[#All],[aux]],0)</f>
        <v>537</v>
      </c>
      <c r="O524" t="str">
        <f>UPPER(GERENCIAS[[#This Row],[Gerente de obra]])</f>
        <v>ORTIZ JUAN MANUEL</v>
      </c>
      <c r="R524" t="s">
        <v>1166</v>
      </c>
      <c r="S524" t="s">
        <v>824</v>
      </c>
      <c r="T524" t="s">
        <v>19</v>
      </c>
      <c r="W524" s="8" t="s">
        <v>1116</v>
      </c>
      <c r="X524" s="8" t="s">
        <v>1116</v>
      </c>
      <c r="Y524" s="8" t="s">
        <v>17</v>
      </c>
      <c r="Z524" t="str">
        <f t="shared" si="8"/>
        <v>HYDRASI</v>
      </c>
      <c r="AA524" s="11" t="e">
        <f>MATCH(Tabla9[[#This Row],[AUX]],Loockup_ObrasGerencia[[#All],[aux]],0)</f>
        <v>#N/A</v>
      </c>
    </row>
    <row r="525" spans="1:27" x14ac:dyDescent="0.25">
      <c r="A525" s="30" t="s">
        <v>1104</v>
      </c>
      <c r="B525" s="30" t="s">
        <v>1103</v>
      </c>
      <c r="C525" s="30" t="s">
        <v>64</v>
      </c>
      <c r="D525" s="30" t="str" cm="1">
        <f t="array" ref="D525">UPPER(_xlfn.XLOOKUP(Loockup_ObrasGerencia[[#This Row],[OBRA_PRONTO]],Tabla7[[#All],[Obra]],Tabla7[[#All],[Gerente de obra]],"Sin Obra Asignada",0))</f>
        <v>SANCHEZ OSCAR</v>
      </c>
      <c r="E525" s="31" t="str">
        <f>Loockup_ObrasGerencia[[#This Row],[OBRA_PRONTO]]&amp;Loockup_ObrasGerencia[[#This Row],[GERENCIA]]</f>
        <v>EDESUR NUEVOSSANCHEZ OSCAR</v>
      </c>
      <c r="H525" t="s">
        <v>1127</v>
      </c>
      <c r="I525" t="s">
        <v>1128</v>
      </c>
      <c r="J525" t="s">
        <v>1031</v>
      </c>
      <c r="K525" t="str">
        <f>Tabla7[[#This Row],[Obra]]&amp;Tabla7[[#This Row],[Gerente de obra]]</f>
        <v>LA PLATA ALCABDL</v>
      </c>
      <c r="L525">
        <f>MATCH(Tabla7[[#This Row],[AUX]],Loockup_ObrasGerencia[[#All],[aux]],0)</f>
        <v>538</v>
      </c>
      <c r="O525" t="str">
        <f>UPPER(GERENCIAS[[#This Row],[Gerente de obra]])</f>
        <v>BDL</v>
      </c>
      <c r="R525" t="s">
        <v>1167</v>
      </c>
      <c r="S525" t="s">
        <v>1167</v>
      </c>
      <c r="T525" t="s">
        <v>1031</v>
      </c>
      <c r="W525" s="8" t="s">
        <v>1168</v>
      </c>
      <c r="X525" s="8" t="s">
        <v>1169</v>
      </c>
      <c r="Y525" s="8" t="s">
        <v>64</v>
      </c>
      <c r="Z525" t="str">
        <f t="shared" si="8"/>
        <v>ITUZAINGO AYSADMINISTRACION</v>
      </c>
      <c r="AA525" s="11" t="e">
        <f>MATCH(Tabla9[[#This Row],[AUX]],Loockup_ObrasGerencia[[#All],[aux]],0)</f>
        <v>#N/A</v>
      </c>
    </row>
    <row r="526" spans="1:27" x14ac:dyDescent="0.25">
      <c r="A526" s="30" t="s">
        <v>1108</v>
      </c>
      <c r="B526" s="30" t="s">
        <v>1107</v>
      </c>
      <c r="C526" s="30" t="s">
        <v>64</v>
      </c>
      <c r="D526" s="30" t="str" cm="1">
        <f t="array" ref="D526">UPPER(_xlfn.XLOOKUP(Loockup_ObrasGerencia[[#This Row],[OBRA_PRONTO]],Tabla7[[#All],[Obra]],Tabla7[[#All],[Gerente de obra]],"Sin Obra Asignada",0))</f>
        <v>BDL</v>
      </c>
      <c r="E526" s="31" t="str">
        <f>Loockup_ObrasGerencia[[#This Row],[OBRA_PRONTO]]&amp;Loockup_ObrasGerencia[[#This Row],[GERENCIA]]</f>
        <v>ENSENADA HOSPBDL</v>
      </c>
      <c r="H526" t="s">
        <v>1129</v>
      </c>
      <c r="I526" t="s">
        <v>1130</v>
      </c>
      <c r="J526" t="s">
        <v>1031</v>
      </c>
      <c r="K526" t="str">
        <f>Tabla7[[#This Row],[Obra]]&amp;Tabla7[[#This Row],[Gerente de obra]]</f>
        <v>LA PLATA SAN BDL</v>
      </c>
      <c r="L526" t="e">
        <f>MATCH(Tabla7[[#This Row],[AUX]],Loockup_ObrasGerencia[[#All],[aux]],0)</f>
        <v>#N/A</v>
      </c>
      <c r="O526" t="str">
        <f>UPPER(GERENCIAS[[#This Row],[Gerente de obra]])</f>
        <v>DIEGO IBAÑEZ</v>
      </c>
      <c r="R526" t="s">
        <v>1062</v>
      </c>
      <c r="S526" t="s">
        <v>1062</v>
      </c>
      <c r="T526" t="s">
        <v>30</v>
      </c>
      <c r="W526" s="8" t="s">
        <v>1170</v>
      </c>
      <c r="X526" s="8" t="s">
        <v>1170</v>
      </c>
      <c r="Y526" s="8" t="s">
        <v>17</v>
      </c>
      <c r="Z526" t="str">
        <f t="shared" si="8"/>
        <v>JAIMOT CELESTESI</v>
      </c>
      <c r="AA526" s="11" t="e">
        <f>MATCH(Tabla9[[#This Row],[AUX]],Loockup_ObrasGerencia[[#All],[aux]],0)</f>
        <v>#N/A</v>
      </c>
    </row>
    <row r="527" spans="1:27" x14ac:dyDescent="0.25">
      <c r="A527" s="30" t="s">
        <v>1110</v>
      </c>
      <c r="B527" s="30" t="s">
        <v>1109</v>
      </c>
      <c r="C527" s="30" t="s">
        <v>64</v>
      </c>
      <c r="D527" s="30" t="str" cm="1">
        <f t="array" ref="D527">UPPER(_xlfn.XLOOKUP(Loockup_ObrasGerencia[[#This Row],[OBRA_PRONTO]],Tabla7[[#All],[Obra]],Tabla7[[#All],[Gerente de obra]],"Sin Obra Asignada",0))</f>
        <v>BDL</v>
      </c>
      <c r="E527" s="31" t="str">
        <f>Loockup_ObrasGerencia[[#This Row],[OBRA_PRONTO]]&amp;Loockup_ObrasGerencia[[#This Row],[GERENCIA]]</f>
        <v>FCIO VAR HOCBDL</v>
      </c>
      <c r="H527" t="s">
        <v>1131</v>
      </c>
      <c r="I527" t="s">
        <v>1131</v>
      </c>
      <c r="J527" t="s">
        <v>1031</v>
      </c>
      <c r="K527" t="str">
        <f>Tabla7[[#This Row],[Obra]]&amp;Tabla7[[#This Row],[Gerente de obra]]</f>
        <v>LA PLATA SPARBDL</v>
      </c>
      <c r="L527">
        <f>MATCH(Tabla7[[#This Row],[AUX]],Loockup_ObrasGerencia[[#All],[aux]],0)</f>
        <v>540</v>
      </c>
      <c r="O527" t="str">
        <f>UPPER(GERENCIAS[[#This Row],[Gerente de obra]])</f>
        <v>FRANCISCO DI LISIO</v>
      </c>
      <c r="R527" t="s">
        <v>1171</v>
      </c>
      <c r="S527" t="s">
        <v>781</v>
      </c>
      <c r="T527" t="s">
        <v>78</v>
      </c>
      <c r="W527" s="8" t="s">
        <v>1121</v>
      </c>
      <c r="X527" s="8" t="s">
        <v>1120</v>
      </c>
      <c r="Y527" s="8" t="s">
        <v>64</v>
      </c>
      <c r="Z527" t="str">
        <f t="shared" si="8"/>
        <v>JOSE C PAZADMINISTRACION</v>
      </c>
      <c r="AA527" s="11" t="e">
        <f>MATCH(Tabla9[[#This Row],[AUX]],Loockup_ObrasGerencia[[#All],[aux]],0)</f>
        <v>#N/A</v>
      </c>
    </row>
    <row r="528" spans="1:27" x14ac:dyDescent="0.25">
      <c r="A528" s="30" t="s">
        <v>1111</v>
      </c>
      <c r="B528" s="30" t="s">
        <v>1111</v>
      </c>
      <c r="C528" s="30" t="s">
        <v>64</v>
      </c>
      <c r="D528" s="30" t="str" cm="1">
        <f t="array" ref="D528">UPPER(_xlfn.XLOOKUP(Loockup_ObrasGerencia[[#This Row],[OBRA_PRONTO]],Tabla7[[#All],[Obra]],Tabla7[[#All],[Gerente de obra]],"Sin Obra Asignada",0))</f>
        <v>BDL</v>
      </c>
      <c r="E528" s="31" t="str">
        <f>Loockup_ObrasGerencia[[#This Row],[OBRA_PRONTO]]&amp;Loockup_ObrasGerencia[[#This Row],[GERENCIA]]</f>
        <v>GAHAN SPARBDL</v>
      </c>
      <c r="H528" t="s">
        <v>1132</v>
      </c>
      <c r="I528" t="s">
        <v>1133</v>
      </c>
      <c r="J528" t="s">
        <v>1031</v>
      </c>
      <c r="K528" t="str">
        <f>Tabla7[[#This Row],[Obra]]&amp;Tabla7[[#This Row],[Gerente de obra]]</f>
        <v>LINCOLN BARRIBDL</v>
      </c>
      <c r="L528">
        <f>MATCH(Tabla7[[#This Row],[AUX]],Loockup_ObrasGerencia[[#All],[aux]],0)</f>
        <v>541</v>
      </c>
      <c r="O528" t="str">
        <f>UPPER(GERENCIAS[[#This Row],[Gerente de obra]])</f>
        <v>BDL</v>
      </c>
      <c r="R528" t="s">
        <v>1172</v>
      </c>
      <c r="S528" t="s">
        <v>1173</v>
      </c>
      <c r="T528" t="s">
        <v>1031</v>
      </c>
      <c r="W528" s="8" t="s">
        <v>1123</v>
      </c>
      <c r="X528" s="8" t="s">
        <v>1122</v>
      </c>
      <c r="Y528" s="8" t="s">
        <v>64</v>
      </c>
      <c r="Z528" t="str">
        <f t="shared" si="8"/>
        <v>LA MATANZA PAADMINISTRACION</v>
      </c>
      <c r="AA528" s="11" t="e">
        <f>MATCH(Tabla9[[#This Row],[AUX]],Loockup_ObrasGerencia[[#All],[aux]],0)</f>
        <v>#N/A</v>
      </c>
    </row>
    <row r="529" spans="1:27" x14ac:dyDescent="0.25">
      <c r="A529" s="30" t="s">
        <v>1113</v>
      </c>
      <c r="B529" s="30" t="s">
        <v>1112</v>
      </c>
      <c r="C529" s="30" t="s">
        <v>64</v>
      </c>
      <c r="D529" s="30" t="str" cm="1">
        <f t="array" ref="D529">UPPER(_xlfn.XLOOKUP(Loockup_ObrasGerencia[[#This Row],[OBRA_PRONTO]],Tabla7[[#All],[Obra]],Tabla7[[#All],[Gerente de obra]],"Sin Obra Asignada",0))</f>
        <v>BDL</v>
      </c>
      <c r="E529" s="31" t="str">
        <f>Loockup_ObrasGerencia[[#This Row],[OBRA_PRONTO]]&amp;Loockup_ObrasGerencia[[#This Row],[GERENCIA]]</f>
        <v>GENERAL VILLEBDL</v>
      </c>
      <c r="H529" t="s">
        <v>1134</v>
      </c>
      <c r="I529" t="s">
        <v>1135</v>
      </c>
      <c r="J529" t="s">
        <v>1031</v>
      </c>
      <c r="K529" t="str">
        <f>Tabla7[[#This Row],[Obra]]&amp;Tabla7[[#This Row],[Gerente de obra]]</f>
        <v>LINCOLN VIALIBDL</v>
      </c>
      <c r="L529">
        <f>MATCH(Tabla7[[#This Row],[AUX]],Loockup_ObrasGerencia[[#All],[aux]],0)</f>
        <v>542</v>
      </c>
      <c r="O529" t="str">
        <f>UPPER(GERENCIAS[[#This Row],[Gerente de obra]])</f>
        <v>BDL</v>
      </c>
      <c r="R529" t="s">
        <v>1174</v>
      </c>
      <c r="S529" t="s">
        <v>1175</v>
      </c>
      <c r="T529" t="s">
        <v>1031</v>
      </c>
      <c r="W529" s="8" t="s">
        <v>1126</v>
      </c>
      <c r="X529" s="8" t="s">
        <v>1125</v>
      </c>
      <c r="Y529" s="8" t="s">
        <v>64</v>
      </c>
      <c r="Z529" t="str">
        <f t="shared" si="8"/>
        <v>LA MATANZA PRADMINISTRACION</v>
      </c>
      <c r="AA529" s="11" t="e">
        <f>MATCH(Tabla9[[#This Row],[AUX]],Loockup_ObrasGerencia[[#All],[aux]],0)</f>
        <v>#N/A</v>
      </c>
    </row>
    <row r="530" spans="1:27" x14ac:dyDescent="0.25">
      <c r="A530" s="30" t="s">
        <v>1115</v>
      </c>
      <c r="B530" s="30" t="s">
        <v>1115</v>
      </c>
      <c r="C530" s="30" t="s">
        <v>17</v>
      </c>
      <c r="D530" s="30" t="str" cm="1">
        <f t="array" ref="D530">UPPER(_xlfn.XLOOKUP(Loockup_ObrasGerencia[[#This Row],[OBRA_PRONTO]],Tabla7[[#All],[Obra]],Tabla7[[#All],[Gerente de obra]],"Sin Obra Asignada",0))</f>
        <v>DIEGO AGUIRRE</v>
      </c>
      <c r="E530" s="31" t="str">
        <f>Loockup_ObrasGerencia[[#This Row],[OBRA_PRONTO]]&amp;Loockup_ObrasGerencia[[#This Row],[GERENCIA]]</f>
        <v>GONZALO, SILVADIEGO AGUIRRE</v>
      </c>
      <c r="H530" t="s">
        <v>1136</v>
      </c>
      <c r="I530" t="s">
        <v>1137</v>
      </c>
      <c r="J530" t="s">
        <v>1031</v>
      </c>
      <c r="K530" t="str">
        <f>Tabla7[[#This Row],[Obra]]&amp;Tabla7[[#This Row],[Gerente de obra]]</f>
        <v>LOMAS DE ZAMOBDL</v>
      </c>
      <c r="L530">
        <f>MATCH(Tabla7[[#This Row],[AUX]],Loockup_ObrasGerencia[[#All],[aux]],0)</f>
        <v>543</v>
      </c>
      <c r="O530" t="str">
        <f>UPPER(GERENCIAS[[#This Row],[Gerente de obra]])</f>
        <v>BDL</v>
      </c>
      <c r="R530" t="s">
        <v>1176</v>
      </c>
      <c r="S530" t="s">
        <v>1177</v>
      </c>
      <c r="T530" t="s">
        <v>1031</v>
      </c>
      <c r="W530" s="8" t="s">
        <v>1128</v>
      </c>
      <c r="X530" s="8" t="s">
        <v>1127</v>
      </c>
      <c r="Y530" s="8" t="s">
        <v>64</v>
      </c>
      <c r="Z530" t="str">
        <f t="shared" si="8"/>
        <v>LA PLATA ALCAADMINISTRACION</v>
      </c>
      <c r="AA530" s="11" t="e">
        <f>MATCH(Tabla9[[#This Row],[AUX]],Loockup_ObrasGerencia[[#All],[aux]],0)</f>
        <v>#N/A</v>
      </c>
    </row>
    <row r="531" spans="1:27" x14ac:dyDescent="0.25">
      <c r="A531" s="30" t="s">
        <v>1116</v>
      </c>
      <c r="B531" s="30" t="s">
        <v>1116</v>
      </c>
      <c r="C531" s="30" t="s">
        <v>17</v>
      </c>
      <c r="D531" s="30" t="str" cm="1">
        <f t="array" ref="D531">UPPER(_xlfn.XLOOKUP(Loockup_ObrasGerencia[[#This Row],[OBRA_PRONTO]],Tabla7[[#All],[Obra]],Tabla7[[#All],[Gerente de obra]],"Sin Obra Asignada",0))</f>
        <v>FRANCISCO DI LISIO</v>
      </c>
      <c r="E531" s="31" t="str">
        <f>Loockup_ObrasGerencia[[#This Row],[OBRA_PRONTO]]&amp;Loockup_ObrasGerencia[[#This Row],[GERENCIA]]</f>
        <v>HYDRAFRANCISCO DI LISIO</v>
      </c>
      <c r="H531" t="s">
        <v>1138</v>
      </c>
      <c r="I531" t="s">
        <v>801</v>
      </c>
      <c r="J531" t="s">
        <v>79</v>
      </c>
      <c r="K531" t="str">
        <f>Tabla7[[#This Row],[Obra]]&amp;Tabla7[[#This Row],[Gerente de obra]]</f>
        <v>MAR DEL PLATAFrancisco Di Lisio</v>
      </c>
      <c r="L531" t="e">
        <f>MATCH(Tabla7[[#This Row],[AUX]],Loockup_ObrasGerencia[[#All],[aux]],0)</f>
        <v>#N/A</v>
      </c>
      <c r="O531" t="str">
        <f>UPPER(GERENCIAS[[#This Row],[Gerente de obra]])</f>
        <v>BDL</v>
      </c>
      <c r="R531" t="s">
        <v>1178</v>
      </c>
      <c r="S531" t="s">
        <v>1179</v>
      </c>
      <c r="T531" t="s">
        <v>1031</v>
      </c>
      <c r="W531" s="8" t="s">
        <v>1130</v>
      </c>
      <c r="X531" s="8" t="s">
        <v>1180</v>
      </c>
      <c r="Y531" s="8" t="s">
        <v>64</v>
      </c>
      <c r="Z531" t="str">
        <f t="shared" si="8"/>
        <v>LA PLATA SANADMINISTRACION</v>
      </c>
      <c r="AA531" s="11" t="e">
        <f>MATCH(Tabla9[[#This Row],[AUX]],Loockup_ObrasGerencia[[#All],[aux]],0)</f>
        <v>#N/A</v>
      </c>
    </row>
    <row r="532" spans="1:27" x14ac:dyDescent="0.25">
      <c r="A532" s="33" t="s">
        <v>711</v>
      </c>
      <c r="B532" s="7" t="s">
        <v>711</v>
      </c>
      <c r="C532" s="34" t="s">
        <v>64</v>
      </c>
      <c r="D532" s="34" t="s">
        <v>78</v>
      </c>
      <c r="E532" s="35">
        <v>581</v>
      </c>
      <c r="H532" t="s">
        <v>1139</v>
      </c>
      <c r="I532" t="s">
        <v>1139</v>
      </c>
      <c r="J532" t="s">
        <v>1031</v>
      </c>
      <c r="K532" t="str">
        <f>Tabla7[[#This Row],[Obra]]&amp;Tabla7[[#This Row],[Gerente de obra]]</f>
        <v>MARCOS CASABDL</v>
      </c>
      <c r="L532">
        <f>MATCH(Tabla7[[#This Row],[AUX]],Loockup_ObrasGerencia[[#All],[aux]],0)</f>
        <v>544</v>
      </c>
      <c r="O532" t="str">
        <f>UPPER(GERENCIAS[[#This Row],[Gerente de obra]])</f>
        <v>BDL</v>
      </c>
      <c r="R532" t="s">
        <v>1183</v>
      </c>
      <c r="S532" t="s">
        <v>1184</v>
      </c>
      <c r="T532" t="s">
        <v>1031</v>
      </c>
      <c r="W532" s="8" t="s">
        <v>1131</v>
      </c>
      <c r="X532" s="8" t="s">
        <v>1131</v>
      </c>
      <c r="Y532" s="8" t="s">
        <v>64</v>
      </c>
      <c r="Z532" t="str">
        <f t="shared" si="8"/>
        <v>LA PLATA SPARADMINISTRACION</v>
      </c>
      <c r="AA532" s="11" t="e">
        <f>MATCH(Tabla9[[#This Row],[AUX]],Loockup_ObrasGerencia[[#All],[aux]],0)</f>
        <v>#N/A</v>
      </c>
    </row>
    <row r="533" spans="1:27" x14ac:dyDescent="0.25">
      <c r="A533" s="30" t="s">
        <v>1168</v>
      </c>
      <c r="B533" s="30" t="s">
        <v>1169</v>
      </c>
      <c r="C533" s="30" t="s">
        <v>64</v>
      </c>
      <c r="D533" s="30" t="str" cm="1">
        <f t="array" ref="D533">UPPER(_xlfn.XLOOKUP(Loockup_ObrasGerencia[[#This Row],[OBRA_PRONTO]],Tabla7[[#All],[Obra]],Tabla7[[#All],[Gerente de obra]],"Sin Obra Asignada",0))</f>
        <v>SIN OBRA ASIGNADA</v>
      </c>
      <c r="E533" s="31" t="str">
        <f>Loockup_ObrasGerencia[[#This Row],[OBRA_PRONTO]]&amp;Loockup_ObrasGerencia[[#This Row],[GERENCIA]]</f>
        <v>ITUZAINGO AYSSIN OBRA ASIGNADA</v>
      </c>
      <c r="H533" t="s">
        <v>1140</v>
      </c>
      <c r="I533" t="s">
        <v>682</v>
      </c>
      <c r="J533" t="s">
        <v>52</v>
      </c>
      <c r="K533" t="str">
        <f>Tabla7[[#This Row],[Obra]]&amp;Tabla7[[#This Row],[Gerente de obra]]</f>
        <v>MIN TRANSPSanchez Oscar</v>
      </c>
      <c r="L533">
        <f>MATCH(Tabla7[[#This Row],[AUX]],Loockup_ObrasGerencia[[#All],[aux]],0)</f>
        <v>545</v>
      </c>
      <c r="O533" t="str">
        <f>UPPER(GERENCIAS[[#This Row],[Gerente de obra]])</f>
        <v>BDL</v>
      </c>
      <c r="R533" t="s">
        <v>1185</v>
      </c>
      <c r="S533" t="s">
        <v>1186</v>
      </c>
      <c r="T533" t="s">
        <v>1031</v>
      </c>
      <c r="W533" s="8" t="s">
        <v>1133</v>
      </c>
      <c r="X533" s="8" t="s">
        <v>1132</v>
      </c>
      <c r="Y533" s="8" t="s">
        <v>64</v>
      </c>
      <c r="Z533" t="str">
        <f t="shared" si="8"/>
        <v>LINCOLN BARRIADMINISTRACION</v>
      </c>
      <c r="AA533" s="11" t="e">
        <f>MATCH(Tabla9[[#This Row],[AUX]],Loockup_ObrasGerencia[[#All],[aux]],0)</f>
        <v>#N/A</v>
      </c>
    </row>
    <row r="534" spans="1:27" x14ac:dyDescent="0.25">
      <c r="A534" s="30" t="s">
        <v>1170</v>
      </c>
      <c r="B534" s="30" t="s">
        <v>1170</v>
      </c>
      <c r="C534" s="30" t="s">
        <v>17</v>
      </c>
      <c r="D534" s="30" t="str" cm="1">
        <f t="array" ref="D534">UPPER(_xlfn.XLOOKUP(Loockup_ObrasGerencia[[#This Row],[OBRA_PRONTO]],Tabla7[[#All],[Obra]],Tabla7[[#All],[Gerente de obra]],"Sin Obra Asignada",0))</f>
        <v>SIN ASIGNACION</v>
      </c>
      <c r="E534" s="31" t="str">
        <f>Loockup_ObrasGerencia[[#This Row],[OBRA_PRONTO]]&amp;Loockup_ObrasGerencia[[#This Row],[GERENCIA]]</f>
        <v>JAIMOT CELESTESIN ASIGNACION</v>
      </c>
      <c r="H534" t="s">
        <v>1141</v>
      </c>
      <c r="I534" t="s">
        <v>1141</v>
      </c>
      <c r="J534" t="s">
        <v>79</v>
      </c>
      <c r="K534" t="str">
        <f>Tabla7[[#This Row],[Obra]]&amp;Tabla7[[#This Row],[Gerente de obra]]</f>
        <v>MINERIA BITCOINFrancisco Di Lisio</v>
      </c>
      <c r="L534">
        <f>MATCH(Tabla7[[#This Row],[AUX]],Loockup_ObrasGerencia[[#All],[aux]],0)</f>
        <v>546</v>
      </c>
      <c r="O534" t="str">
        <f>UPPER(GERENCIAS[[#This Row],[Gerente de obra]])</f>
        <v>BDL</v>
      </c>
      <c r="R534" t="s">
        <v>1187</v>
      </c>
      <c r="S534" t="s">
        <v>1188</v>
      </c>
      <c r="T534" t="s">
        <v>1031</v>
      </c>
      <c r="W534" s="8" t="s">
        <v>1135</v>
      </c>
      <c r="X534" s="8" t="s">
        <v>1134</v>
      </c>
      <c r="Y534" s="8" t="s">
        <v>64</v>
      </c>
      <c r="Z534" t="str">
        <f t="shared" si="8"/>
        <v>LINCOLN VIALIADMINISTRACION</v>
      </c>
      <c r="AA534" s="11" t="e">
        <f>MATCH(Tabla9[[#This Row],[AUX]],Loockup_ObrasGerencia[[#All],[aux]],0)</f>
        <v>#N/A</v>
      </c>
    </row>
    <row r="535" spans="1:27" x14ac:dyDescent="0.25">
      <c r="A535" s="30" t="s">
        <v>1121</v>
      </c>
      <c r="B535" s="30" t="s">
        <v>1120</v>
      </c>
      <c r="C535" s="30" t="s">
        <v>64</v>
      </c>
      <c r="D535" s="30" t="str" cm="1">
        <f t="array" ref="D535">UPPER(_xlfn.XLOOKUP(Loockup_ObrasGerencia[[#This Row],[OBRA_PRONTO]],Tabla7[[#All],[Obra]],Tabla7[[#All],[Gerente de obra]],"Sin Obra Asignada",0))</f>
        <v>BDL</v>
      </c>
      <c r="E535" s="31" t="str">
        <f>Loockup_ObrasGerencia[[#This Row],[OBRA_PRONTO]]&amp;Loockup_ObrasGerencia[[#This Row],[GERENCIA]]</f>
        <v>JOSE C PAZBDL</v>
      </c>
      <c r="H535" t="s">
        <v>1144</v>
      </c>
      <c r="I535" t="s">
        <v>1144</v>
      </c>
      <c r="J535" t="s">
        <v>1031</v>
      </c>
      <c r="K535" t="str">
        <f>Tabla7[[#This Row],[Obra]]&amp;Tabla7[[#This Row],[Gerente de obra]]</f>
        <v>MORENOBDL</v>
      </c>
      <c r="L535">
        <f>MATCH(Tabla7[[#This Row],[AUX]],Loockup_ObrasGerencia[[#All],[aux]],0)</f>
        <v>547</v>
      </c>
      <c r="O535" t="str">
        <f>UPPER(GERENCIAS[[#This Row],[Gerente de obra]])</f>
        <v>BDL</v>
      </c>
      <c r="R535" t="s">
        <v>1189</v>
      </c>
      <c r="S535" t="s">
        <v>1190</v>
      </c>
      <c r="T535" t="s">
        <v>1031</v>
      </c>
      <c r="W535" s="8" t="s">
        <v>1137</v>
      </c>
      <c r="X535" s="8" t="s">
        <v>1136</v>
      </c>
      <c r="Y535" s="8" t="s">
        <v>64</v>
      </c>
      <c r="Z535" t="str">
        <f t="shared" si="8"/>
        <v>LOMAS DE ZAMOADMINISTRACION</v>
      </c>
      <c r="AA535" s="11" t="e">
        <f>MATCH(Tabla9[[#This Row],[AUX]],Loockup_ObrasGerencia[[#All],[aux]],0)</f>
        <v>#N/A</v>
      </c>
    </row>
    <row r="536" spans="1:27" x14ac:dyDescent="0.25">
      <c r="A536" s="30" t="s">
        <v>1123</v>
      </c>
      <c r="B536" s="30" t="s">
        <v>1122</v>
      </c>
      <c r="C536" s="30" t="s">
        <v>64</v>
      </c>
      <c r="D536" s="30" t="str" cm="1">
        <f t="array" ref="D536">UPPER(_xlfn.XLOOKUP(Loockup_ObrasGerencia[[#This Row],[OBRA_PRONTO]],Tabla7[[#All],[Obra]],Tabla7[[#All],[Gerente de obra]],"Sin Obra Asignada",0))</f>
        <v>BDL</v>
      </c>
      <c r="E536" s="31" t="str">
        <f>Loockup_ObrasGerencia[[#This Row],[OBRA_PRONTO]]&amp;Loockup_ObrasGerencia[[#This Row],[GERENCIA]]</f>
        <v>LA MATANZA PABDL</v>
      </c>
      <c r="H536" t="s">
        <v>1145</v>
      </c>
      <c r="I536" t="s">
        <v>1145</v>
      </c>
      <c r="J536" t="s">
        <v>1031</v>
      </c>
      <c r="K536" t="str">
        <f>Tabla7[[#This Row],[Obra]]&amp;Tabla7[[#This Row],[Gerente de obra]]</f>
        <v>MORENO HOCKEYBDL</v>
      </c>
      <c r="L536">
        <f>MATCH(Tabla7[[#This Row],[AUX]],Loockup_ObrasGerencia[[#All],[aux]],0)</f>
        <v>548</v>
      </c>
      <c r="O536" t="str">
        <f>UPPER(GERENCIAS[[#This Row],[Gerente de obra]])</f>
        <v>BDL</v>
      </c>
      <c r="R536" t="s">
        <v>1191</v>
      </c>
      <c r="S536" t="s">
        <v>1192</v>
      </c>
      <c r="T536" t="s">
        <v>1031</v>
      </c>
      <c r="W536" s="8" t="s">
        <v>1139</v>
      </c>
      <c r="X536" s="8" t="s">
        <v>1139</v>
      </c>
      <c r="Y536" s="8" t="s">
        <v>64</v>
      </c>
      <c r="Z536" t="str">
        <f t="shared" si="8"/>
        <v>MARCOS CASAADMINISTRACION</v>
      </c>
      <c r="AA536" s="11" t="e">
        <f>MATCH(Tabla9[[#This Row],[AUX]],Loockup_ObrasGerencia[[#All],[aux]],0)</f>
        <v>#N/A</v>
      </c>
    </row>
    <row r="537" spans="1:27" x14ac:dyDescent="0.25">
      <c r="A537" s="30" t="s">
        <v>1126</v>
      </c>
      <c r="B537" s="30" t="s">
        <v>1125</v>
      </c>
      <c r="C537" s="30" t="s">
        <v>64</v>
      </c>
      <c r="D537" s="30" t="str" cm="1">
        <f t="array" ref="D537">UPPER(_xlfn.XLOOKUP(Loockup_ObrasGerencia[[#This Row],[OBRA_PRONTO]],Tabla7[[#All],[Obra]],Tabla7[[#All],[Gerente de obra]],"Sin Obra Asignada",0))</f>
        <v>BDL</v>
      </c>
      <c r="E537" s="31" t="str">
        <f>Loockup_ObrasGerencia[[#This Row],[OBRA_PRONTO]]&amp;Loockup_ObrasGerencia[[#This Row],[GERENCIA]]</f>
        <v>LA MATANZA PRBDL</v>
      </c>
      <c r="H537" t="s">
        <v>1146</v>
      </c>
      <c r="I537" t="s">
        <v>1147</v>
      </c>
      <c r="J537" t="s">
        <v>1031</v>
      </c>
      <c r="K537" t="str">
        <f>Tabla7[[#This Row],[Obra]]&amp;Tabla7[[#This Row],[Gerente de obra]]</f>
        <v>MORENO NICARABDL</v>
      </c>
      <c r="L537">
        <f>MATCH(Tabla7[[#This Row],[AUX]],Loockup_ObrasGerencia[[#All],[aux]],0)</f>
        <v>549</v>
      </c>
      <c r="O537" t="str">
        <f>UPPER(GERENCIAS[[#This Row],[Gerente de obra]])</f>
        <v>BDL</v>
      </c>
      <c r="R537" t="s">
        <v>1193</v>
      </c>
      <c r="S537" t="s">
        <v>1193</v>
      </c>
      <c r="T537" t="s">
        <v>1031</v>
      </c>
      <c r="W537" s="8" t="s">
        <v>682</v>
      </c>
      <c r="X537" s="8" t="s">
        <v>1140</v>
      </c>
      <c r="Y537" s="8" t="s">
        <v>17</v>
      </c>
      <c r="Z537" t="str">
        <f t="shared" si="8"/>
        <v>MIN TRANSPSI</v>
      </c>
      <c r="AA537" s="11" t="e">
        <f>MATCH(Tabla9[[#This Row],[AUX]],Loockup_ObrasGerencia[[#All],[aux]],0)</f>
        <v>#N/A</v>
      </c>
    </row>
    <row r="538" spans="1:27" x14ac:dyDescent="0.25">
      <c r="A538" s="30" t="s">
        <v>1128</v>
      </c>
      <c r="B538" s="30" t="s">
        <v>1127</v>
      </c>
      <c r="C538" s="30" t="s">
        <v>64</v>
      </c>
      <c r="D538" s="30" t="str" cm="1">
        <f t="array" ref="D538">UPPER(_xlfn.XLOOKUP(Loockup_ObrasGerencia[[#This Row],[OBRA_PRONTO]],Tabla7[[#All],[Obra]],Tabla7[[#All],[Gerente de obra]],"Sin Obra Asignada",0))</f>
        <v>BDL</v>
      </c>
      <c r="E538" s="31" t="str">
        <f>Loockup_ObrasGerencia[[#This Row],[OBRA_PRONTO]]&amp;Loockup_ObrasGerencia[[#This Row],[GERENCIA]]</f>
        <v>LA PLATA ALCABDL</v>
      </c>
      <c r="H538" t="s">
        <v>1148</v>
      </c>
      <c r="I538" t="s">
        <v>1149</v>
      </c>
      <c r="J538" t="s">
        <v>1031</v>
      </c>
      <c r="K538" t="str">
        <f>Tabla7[[#This Row],[Obra]]&amp;Tabla7[[#This Row],[Gerente de obra]]</f>
        <v>MORENO PROMEBBDL</v>
      </c>
      <c r="L538">
        <f>MATCH(Tabla7[[#This Row],[AUX]],Loockup_ObrasGerencia[[#All],[aux]],0)</f>
        <v>550</v>
      </c>
      <c r="O538" t="str">
        <f>UPPER(GERENCIAS[[#This Row],[Gerente de obra]])</f>
        <v>BDL</v>
      </c>
      <c r="R538" t="s">
        <v>1194</v>
      </c>
      <c r="S538" t="s">
        <v>1194</v>
      </c>
      <c r="T538" t="s">
        <v>1031</v>
      </c>
      <c r="W538" s="8" t="s">
        <v>1141</v>
      </c>
      <c r="X538" s="8" t="s">
        <v>1141</v>
      </c>
      <c r="Y538" s="8" t="s">
        <v>17</v>
      </c>
      <c r="Z538" t="str">
        <f t="shared" si="8"/>
        <v>MINERIA BITCOINSI</v>
      </c>
      <c r="AA538" s="11" t="e">
        <f>MATCH(Tabla9[[#This Row],[AUX]],Loockup_ObrasGerencia[[#All],[aux]],0)</f>
        <v>#N/A</v>
      </c>
    </row>
    <row r="539" spans="1:27" x14ac:dyDescent="0.25">
      <c r="A539" s="30" t="s">
        <v>1130</v>
      </c>
      <c r="B539" s="30" t="s">
        <v>1180</v>
      </c>
      <c r="C539" s="30" t="s">
        <v>64</v>
      </c>
      <c r="D539" s="30" t="str" cm="1">
        <f t="array" ref="D539">UPPER(_xlfn.XLOOKUP(Loockup_ObrasGerencia[[#This Row],[OBRA_PRONTO]],Tabla7[[#All],[Obra]],Tabla7[[#All],[Gerente de obra]],"Sin Obra Asignada",0))</f>
        <v>SIN OBRA ASIGNADA</v>
      </c>
      <c r="E539" s="31" t="str">
        <f>Loockup_ObrasGerencia[[#This Row],[OBRA_PRONTO]]&amp;Loockup_ObrasGerencia[[#This Row],[GERENCIA]]</f>
        <v>LA PLATA SANSIN OBRA ASIGNADA</v>
      </c>
      <c r="H539" t="s">
        <v>1150</v>
      </c>
      <c r="I539" t="s">
        <v>1151</v>
      </c>
      <c r="J539" t="s">
        <v>1031</v>
      </c>
      <c r="K539" t="str">
        <f>Tabla7[[#This Row],[Obra]]&amp;Tabla7[[#This Row],[Gerente de obra]]</f>
        <v>NECOBDL</v>
      </c>
      <c r="L539">
        <f>MATCH(Tabla7[[#This Row],[AUX]],Loockup_ObrasGerencia[[#All],[aux]],0)</f>
        <v>551</v>
      </c>
      <c r="O539" t="str">
        <f>UPPER(GERENCIAS[[#This Row],[Gerente de obra]])</f>
        <v>BDL</v>
      </c>
      <c r="R539" t="s">
        <v>1195</v>
      </c>
      <c r="S539" t="s">
        <v>1196</v>
      </c>
      <c r="T539" t="s">
        <v>1031</v>
      </c>
      <c r="W539" s="8" t="s">
        <v>1144</v>
      </c>
      <c r="X539" s="8" t="s">
        <v>1144</v>
      </c>
      <c r="Y539" s="8" t="s">
        <v>64</v>
      </c>
      <c r="Z539" t="str">
        <f t="shared" si="8"/>
        <v>MORENOADMINISTRACION</v>
      </c>
      <c r="AA539" s="11" t="e">
        <f>MATCH(Tabla9[[#This Row],[AUX]],Loockup_ObrasGerencia[[#All],[aux]],0)</f>
        <v>#N/A</v>
      </c>
    </row>
    <row r="540" spans="1:27" x14ac:dyDescent="0.25">
      <c r="A540" s="30" t="s">
        <v>1131</v>
      </c>
      <c r="B540" s="30" t="s">
        <v>1131</v>
      </c>
      <c r="C540" s="30" t="s">
        <v>64</v>
      </c>
      <c r="D540" s="30" t="str" cm="1">
        <f t="array" ref="D540">UPPER(_xlfn.XLOOKUP(Loockup_ObrasGerencia[[#This Row],[OBRA_PRONTO]],Tabla7[[#All],[Obra]],Tabla7[[#All],[Gerente de obra]],"Sin Obra Asignada",0))</f>
        <v>BDL</v>
      </c>
      <c r="E540" s="31" t="str">
        <f>Loockup_ObrasGerencia[[#This Row],[OBRA_PRONTO]]&amp;Loockup_ObrasGerencia[[#This Row],[GERENCIA]]</f>
        <v>LA PLATA SPARBDL</v>
      </c>
      <c r="H540" t="s">
        <v>1152</v>
      </c>
      <c r="I540" t="s">
        <v>1152</v>
      </c>
      <c r="J540" t="s">
        <v>1031</v>
      </c>
      <c r="K540" t="str">
        <f>Tabla7[[#This Row],[Obra]]&amp;Tabla7[[#This Row],[Gerente de obra]]</f>
        <v>NECOCHEABDL</v>
      </c>
      <c r="L540">
        <f>MATCH(Tabla7[[#This Row],[AUX]],Loockup_ObrasGerencia[[#All],[aux]],0)</f>
        <v>552</v>
      </c>
      <c r="O540" t="str">
        <f>UPPER(GERENCIAS[[#This Row],[Gerente de obra]])</f>
        <v>BDL</v>
      </c>
      <c r="R540" t="s">
        <v>1197</v>
      </c>
      <c r="S540" t="s">
        <v>1198</v>
      </c>
      <c r="T540" t="s">
        <v>1031</v>
      </c>
      <c r="W540" s="8" t="s">
        <v>1145</v>
      </c>
      <c r="X540" s="8" t="s">
        <v>1145</v>
      </c>
      <c r="Y540" s="8" t="s">
        <v>64</v>
      </c>
      <c r="Z540" t="str">
        <f t="shared" si="8"/>
        <v>MORENO HOCKEYADMINISTRACION</v>
      </c>
      <c r="AA540" s="11" t="e">
        <f>MATCH(Tabla9[[#This Row],[AUX]],Loockup_ObrasGerencia[[#All],[aux]],0)</f>
        <v>#N/A</v>
      </c>
    </row>
    <row r="541" spans="1:27" x14ac:dyDescent="0.25">
      <c r="A541" s="30" t="s">
        <v>1133</v>
      </c>
      <c r="B541" s="30" t="s">
        <v>1132</v>
      </c>
      <c r="C541" s="30" t="s">
        <v>64</v>
      </c>
      <c r="D541" s="30" t="str" cm="1">
        <f t="array" ref="D541">UPPER(_xlfn.XLOOKUP(Loockup_ObrasGerencia[[#This Row],[OBRA_PRONTO]],Tabla7[[#All],[Obra]],Tabla7[[#All],[Gerente de obra]],"Sin Obra Asignada",0))</f>
        <v>BDL</v>
      </c>
      <c r="E541" s="31" t="str">
        <f>Loockup_ObrasGerencia[[#This Row],[OBRA_PRONTO]]&amp;Loockup_ObrasGerencia[[#This Row],[GERENCIA]]</f>
        <v>LINCOLN BARRIBDL</v>
      </c>
      <c r="H541" t="s">
        <v>1153</v>
      </c>
      <c r="I541" t="s">
        <v>1153</v>
      </c>
      <c r="J541" t="s">
        <v>1031</v>
      </c>
      <c r="K541" t="str">
        <f>Tabla7[[#This Row],[Obra]]&amp;Tabla7[[#This Row],[Gerente de obra]]</f>
        <v>OBRAS POSEBDL</v>
      </c>
      <c r="L541">
        <f>MATCH(Tabla7[[#This Row],[AUX]],Loockup_ObrasGerencia[[#All],[aux]],0)</f>
        <v>553</v>
      </c>
      <c r="O541" t="str">
        <f>UPPER(GERENCIAS[[#This Row],[Gerente de obra]])</f>
        <v>BDL</v>
      </c>
      <c r="R541" t="s">
        <v>1199</v>
      </c>
      <c r="S541" t="s">
        <v>1200</v>
      </c>
      <c r="T541" t="s">
        <v>1031</v>
      </c>
      <c r="W541" s="8" t="s">
        <v>1147</v>
      </c>
      <c r="X541" s="8" t="s">
        <v>1146</v>
      </c>
      <c r="Y541" s="8" t="s">
        <v>64</v>
      </c>
      <c r="Z541" t="str">
        <f t="shared" si="8"/>
        <v>MORENO NICARAADMINISTRACION</v>
      </c>
      <c r="AA541" s="11" t="e">
        <f>MATCH(Tabla9[[#This Row],[AUX]],Loockup_ObrasGerencia[[#All],[aux]],0)</f>
        <v>#N/A</v>
      </c>
    </row>
    <row r="542" spans="1:27" x14ac:dyDescent="0.25">
      <c r="A542" s="30" t="s">
        <v>1135</v>
      </c>
      <c r="B542" s="30" t="s">
        <v>1134</v>
      </c>
      <c r="C542" s="30" t="s">
        <v>64</v>
      </c>
      <c r="D542" s="30" t="str" cm="1">
        <f t="array" ref="D542">UPPER(_xlfn.XLOOKUP(Loockup_ObrasGerencia[[#This Row],[OBRA_PRONTO]],Tabla7[[#All],[Obra]],Tabla7[[#All],[Gerente de obra]],"Sin Obra Asignada",0))</f>
        <v>BDL</v>
      </c>
      <c r="E542" s="31" t="str">
        <f>Loockup_ObrasGerencia[[#This Row],[OBRA_PRONTO]]&amp;Loockup_ObrasGerencia[[#This Row],[GERENCIA]]</f>
        <v>LINCOLN VIALIBDL</v>
      </c>
      <c r="H542" t="s">
        <v>1154</v>
      </c>
      <c r="I542" t="s">
        <v>1154</v>
      </c>
      <c r="J542" t="s">
        <v>1031</v>
      </c>
      <c r="K542" t="str">
        <f>Tabla7[[#This Row],[Obra]]&amp;Tabla7[[#This Row],[Gerente de obra]]</f>
        <v>PEARSON SPARBDL</v>
      </c>
      <c r="L542">
        <f>MATCH(Tabla7[[#This Row],[AUX]],Loockup_ObrasGerencia[[#All],[aux]],0)</f>
        <v>554</v>
      </c>
      <c r="O542" t="str">
        <f>UPPER(GERENCIAS[[#This Row],[Gerente de obra]])</f>
        <v>BDL</v>
      </c>
      <c r="R542" t="s">
        <v>1201</v>
      </c>
      <c r="S542" t="s">
        <v>1202</v>
      </c>
      <c r="T542" t="s">
        <v>1031</v>
      </c>
      <c r="W542" s="8" t="s">
        <v>1149</v>
      </c>
      <c r="X542" s="8" t="s">
        <v>1148</v>
      </c>
      <c r="Y542" s="8" t="s">
        <v>64</v>
      </c>
      <c r="Z542" t="str">
        <f t="shared" si="8"/>
        <v>MORENO PROMEBADMINISTRACION</v>
      </c>
      <c r="AA542" s="11" t="e">
        <f>MATCH(Tabla9[[#This Row],[AUX]],Loockup_ObrasGerencia[[#All],[aux]],0)</f>
        <v>#N/A</v>
      </c>
    </row>
    <row r="543" spans="1:27" x14ac:dyDescent="0.25">
      <c r="A543" s="30" t="s">
        <v>1137</v>
      </c>
      <c r="B543" s="30" t="s">
        <v>1136</v>
      </c>
      <c r="C543" s="30" t="s">
        <v>64</v>
      </c>
      <c r="D543" s="30" t="str" cm="1">
        <f t="array" ref="D543">UPPER(_xlfn.XLOOKUP(Loockup_ObrasGerencia[[#This Row],[OBRA_PRONTO]],Tabla7[[#All],[Obra]],Tabla7[[#All],[Gerente de obra]],"Sin Obra Asignada",0))</f>
        <v>BDL</v>
      </c>
      <c r="E543" s="31" t="str">
        <f>Loockup_ObrasGerencia[[#This Row],[OBRA_PRONTO]]&amp;Loockup_ObrasGerencia[[#This Row],[GERENCIA]]</f>
        <v>LOMAS DE ZAMOBDL</v>
      </c>
      <c r="H543" t="s">
        <v>1155</v>
      </c>
      <c r="I543" t="s">
        <v>1155</v>
      </c>
      <c r="J543" t="s">
        <v>1031</v>
      </c>
      <c r="K543" t="str">
        <f>Tabla7[[#This Row],[Obra]]&amp;Tabla7[[#This Row],[Gerente de obra]]</f>
        <v>PILAR VERAZULBDL</v>
      </c>
      <c r="L543">
        <f>MATCH(Tabla7[[#This Row],[AUX]],Loockup_ObrasGerencia[[#All],[aux]],0)</f>
        <v>555</v>
      </c>
      <c r="O543" t="str">
        <f>UPPER(GERENCIAS[[#This Row],[Gerente de obra]])</f>
        <v>BDL</v>
      </c>
      <c r="R543" t="s">
        <v>1203</v>
      </c>
      <c r="S543" t="s">
        <v>1204</v>
      </c>
      <c r="T543" t="s">
        <v>1031</v>
      </c>
      <c r="W543" s="8" t="s">
        <v>1151</v>
      </c>
      <c r="X543" s="8" t="s">
        <v>1150</v>
      </c>
      <c r="Y543" s="8" t="s">
        <v>64</v>
      </c>
      <c r="Z543" t="str">
        <f t="shared" si="8"/>
        <v>NECOADMINISTRACION</v>
      </c>
      <c r="AA543" s="11" t="e">
        <f>MATCH(Tabla9[[#This Row],[AUX]],Loockup_ObrasGerencia[[#All],[aux]],0)</f>
        <v>#N/A</v>
      </c>
    </row>
    <row r="544" spans="1:27" x14ac:dyDescent="0.25">
      <c r="A544" s="30" t="s">
        <v>1139</v>
      </c>
      <c r="B544" s="30" t="s">
        <v>1139</v>
      </c>
      <c r="C544" s="30" t="s">
        <v>64</v>
      </c>
      <c r="D544" s="30" t="str" cm="1">
        <f t="array" ref="D544">UPPER(_xlfn.XLOOKUP(Loockup_ObrasGerencia[[#This Row],[OBRA_PRONTO]],Tabla7[[#All],[Obra]],Tabla7[[#All],[Gerente de obra]],"Sin Obra Asignada",0))</f>
        <v>BDL</v>
      </c>
      <c r="E544" s="31" t="str">
        <f>Loockup_ObrasGerencia[[#This Row],[OBRA_PRONTO]]&amp;Loockup_ObrasGerencia[[#This Row],[GERENCIA]]</f>
        <v>MARCOS CASABDL</v>
      </c>
      <c r="H544" t="s">
        <v>1156</v>
      </c>
      <c r="I544" t="s">
        <v>1157</v>
      </c>
      <c r="J544" t="s">
        <v>1031</v>
      </c>
      <c r="K544" t="str">
        <f>Tabla7[[#This Row],[Obra]]&amp;Tabla7[[#This Row],[Gerente de obra]]</f>
        <v>PL ASF LINCBDL</v>
      </c>
      <c r="L544">
        <f>MATCH(Tabla7[[#This Row],[AUX]],Loockup_ObrasGerencia[[#All],[aux]],0)</f>
        <v>556</v>
      </c>
      <c r="O544" t="str">
        <f>UPPER(GERENCIAS[[#This Row],[Gerente de obra]])</f>
        <v>FRANCISCO DI LISIO</v>
      </c>
      <c r="R544" t="s">
        <v>1118</v>
      </c>
      <c r="S544" t="s">
        <v>1119</v>
      </c>
      <c r="T544" t="s">
        <v>78</v>
      </c>
      <c r="W544" s="8" t="s">
        <v>1152</v>
      </c>
      <c r="X544" s="8" t="s">
        <v>1152</v>
      </c>
      <c r="Y544" s="8" t="s">
        <v>64</v>
      </c>
      <c r="Z544" t="str">
        <f t="shared" si="8"/>
        <v>NECOCHEAADMINISTRACION</v>
      </c>
      <c r="AA544" s="11" t="e">
        <f>MATCH(Tabla9[[#This Row],[AUX]],Loockup_ObrasGerencia[[#All],[aux]],0)</f>
        <v>#N/A</v>
      </c>
    </row>
    <row r="545" spans="1:27" x14ac:dyDescent="0.25">
      <c r="A545" s="30" t="s">
        <v>682</v>
      </c>
      <c r="B545" s="30" t="s">
        <v>1140</v>
      </c>
      <c r="C545" s="30" t="s">
        <v>17</v>
      </c>
      <c r="D545" s="30" t="str" cm="1">
        <f t="array" ref="D545">UPPER(_xlfn.XLOOKUP(Loockup_ObrasGerencia[[#This Row],[OBRA_PRONTO]],Tabla7[[#All],[Obra]],Tabla7[[#All],[Gerente de obra]],"Sin Obra Asignada",0))</f>
        <v>SANCHEZ OSCAR</v>
      </c>
      <c r="E545" s="31" t="str">
        <f>Loockup_ObrasGerencia[[#This Row],[OBRA_PRONTO]]&amp;Loockup_ObrasGerencia[[#This Row],[GERENCIA]]</f>
        <v>MIN TRANSPSANCHEZ OSCAR</v>
      </c>
      <c r="H545" t="s">
        <v>1158</v>
      </c>
      <c r="I545" t="s">
        <v>1159</v>
      </c>
      <c r="J545" t="s">
        <v>1031</v>
      </c>
      <c r="K545" t="str">
        <f>Tabla7[[#This Row],[Obra]]&amp;Tabla7[[#This Row],[Gerente de obra]]</f>
        <v>PLANTA DE ASFBDL</v>
      </c>
      <c r="L545">
        <f>MATCH(Tabla7[[#This Row],[AUX]],Loockup_ObrasGerencia[[#All],[aux]],0)</f>
        <v>557</v>
      </c>
      <c r="O545" t="str">
        <f>UPPER(GERENCIAS[[#This Row],[Gerente de obra]])</f>
        <v>FRANCISCO DI LISIO</v>
      </c>
      <c r="R545" t="s">
        <v>650</v>
      </c>
      <c r="S545" t="s">
        <v>650</v>
      </c>
      <c r="T545" t="s">
        <v>78</v>
      </c>
      <c r="W545" s="8" t="s">
        <v>1153</v>
      </c>
      <c r="X545" s="8" t="s">
        <v>1153</v>
      </c>
      <c r="Y545" s="8" t="s">
        <v>17</v>
      </c>
      <c r="Z545" t="str">
        <f t="shared" si="8"/>
        <v>OBRAS POSESI</v>
      </c>
      <c r="AA545" s="11" t="e">
        <f>MATCH(Tabla9[[#This Row],[AUX]],Loockup_ObrasGerencia[[#All],[aux]],0)</f>
        <v>#N/A</v>
      </c>
    </row>
    <row r="546" spans="1:27" x14ac:dyDescent="0.25">
      <c r="A546" s="30" t="s">
        <v>1141</v>
      </c>
      <c r="B546" s="30" t="s">
        <v>1141</v>
      </c>
      <c r="C546" s="30" t="s">
        <v>17</v>
      </c>
      <c r="D546" s="30" t="str" cm="1">
        <f t="array" ref="D546">UPPER(_xlfn.XLOOKUP(Loockup_ObrasGerencia[[#This Row],[OBRA_PRONTO]],Tabla7[[#All],[Obra]],Tabla7[[#All],[Gerente de obra]],"Sin Obra Asignada",0))</f>
        <v>FRANCISCO DI LISIO</v>
      </c>
      <c r="E546" s="31" t="str">
        <f>Loockup_ObrasGerencia[[#This Row],[OBRA_PRONTO]]&amp;Loockup_ObrasGerencia[[#This Row],[GERENCIA]]</f>
        <v>MINERIA BITCOINFRANCISCO DI LISIO</v>
      </c>
      <c r="H546" t="s">
        <v>1160</v>
      </c>
      <c r="I546" t="s">
        <v>1160</v>
      </c>
      <c r="J546" t="s">
        <v>1209</v>
      </c>
      <c r="K546" t="str">
        <f>Tabla7[[#This Row],[Obra]]&amp;Tabla7[[#This Row],[Gerente de obra]]</f>
        <v>REPETTO ERNESTORepetto Ernesto</v>
      </c>
      <c r="L546" t="e">
        <f>MATCH(Tabla7[[#This Row],[AUX]],Loockup_ObrasGerencia[[#All],[aux]],0)</f>
        <v>#N/A</v>
      </c>
      <c r="O546" t="str">
        <f>UPPER(GERENCIAS[[#This Row],[Gerente de obra]])</f>
        <v>DIEGO IBAÑEZ</v>
      </c>
      <c r="R546" t="s">
        <v>1181</v>
      </c>
      <c r="S546" t="s">
        <v>1182</v>
      </c>
      <c r="T546" t="s">
        <v>30</v>
      </c>
      <c r="W546" s="8" t="s">
        <v>1154</v>
      </c>
      <c r="X546" s="8" t="s">
        <v>1154</v>
      </c>
      <c r="Y546" s="8" t="s">
        <v>64</v>
      </c>
      <c r="Z546" t="str">
        <f t="shared" si="8"/>
        <v>PEARSON SPARADMINISTRACION</v>
      </c>
      <c r="AA546" s="11" t="e">
        <f>MATCH(Tabla9[[#This Row],[AUX]],Loockup_ObrasGerencia[[#All],[aux]],0)</f>
        <v>#N/A</v>
      </c>
    </row>
    <row r="547" spans="1:27" x14ac:dyDescent="0.25">
      <c r="A547" s="30" t="s">
        <v>1144</v>
      </c>
      <c r="B547" s="30" t="s">
        <v>1144</v>
      </c>
      <c r="C547" s="30" t="s">
        <v>64</v>
      </c>
      <c r="D547" s="30" t="str" cm="1">
        <f t="array" ref="D547">UPPER(_xlfn.XLOOKUP(Loockup_ObrasGerencia[[#This Row],[OBRA_PRONTO]],Tabla7[[#All],[Obra]],Tabla7[[#All],[Gerente de obra]],"Sin Obra Asignada",0))</f>
        <v>BDL</v>
      </c>
      <c r="E547" s="31" t="str">
        <f>Loockup_ObrasGerencia[[#This Row],[OBRA_PRONTO]]&amp;Loockup_ObrasGerencia[[#This Row],[GERENCIA]]</f>
        <v>MORENOBDL</v>
      </c>
      <c r="H547" t="s">
        <v>1161</v>
      </c>
      <c r="I547" t="s">
        <v>1162</v>
      </c>
      <c r="J547" t="s">
        <v>1031</v>
      </c>
      <c r="K547" t="str">
        <f>Tabla7[[#This Row],[Obra]]&amp;Tabla7[[#This Row],[Gerente de obra]]</f>
        <v>RUTA 50 MARCABDL</v>
      </c>
      <c r="L547">
        <f>MATCH(Tabla7[[#This Row],[AUX]],Loockup_ObrasGerencia[[#All],[aux]],0)</f>
        <v>558</v>
      </c>
      <c r="O547" t="str">
        <f>UPPER(GERENCIAS[[#This Row],[Gerente de obra]])</f>
        <v>SIN OBRA ASIGNADA</v>
      </c>
      <c r="R547" t="s">
        <v>63</v>
      </c>
      <c r="S547" t="s">
        <v>62</v>
      </c>
      <c r="T547" t="s">
        <v>65</v>
      </c>
      <c r="W547" s="8" t="s">
        <v>1155</v>
      </c>
      <c r="X547" s="8" t="s">
        <v>1155</v>
      </c>
      <c r="Y547" s="8" t="s">
        <v>64</v>
      </c>
      <c r="Z547" t="str">
        <f t="shared" si="8"/>
        <v>PILAR VERAZULADMINISTRACION</v>
      </c>
      <c r="AA547" s="11" t="e">
        <f>MATCH(Tabla9[[#This Row],[AUX]],Loockup_ObrasGerencia[[#All],[aux]],0)</f>
        <v>#N/A</v>
      </c>
    </row>
    <row r="548" spans="1:27" x14ac:dyDescent="0.25">
      <c r="A548" s="30" t="s">
        <v>1145</v>
      </c>
      <c r="B548" s="30" t="s">
        <v>1145</v>
      </c>
      <c r="C548" s="30" t="s">
        <v>64</v>
      </c>
      <c r="D548" s="30" t="str" cm="1">
        <f t="array" ref="D548">UPPER(_xlfn.XLOOKUP(Loockup_ObrasGerencia[[#This Row],[OBRA_PRONTO]],Tabla7[[#All],[Obra]],Tabla7[[#All],[Gerente de obra]],"Sin Obra Asignada",0))</f>
        <v>BDL</v>
      </c>
      <c r="E548" s="31" t="str">
        <f>Loockup_ObrasGerencia[[#This Row],[OBRA_PRONTO]]&amp;Loockup_ObrasGerencia[[#This Row],[GERENCIA]]</f>
        <v>MORENO HOCKEYBDL</v>
      </c>
      <c r="H548" t="s">
        <v>1163</v>
      </c>
      <c r="I548" t="s">
        <v>1163</v>
      </c>
      <c r="J548" t="s">
        <v>1031</v>
      </c>
      <c r="K548" t="str">
        <f>Tabla7[[#This Row],[Obra]]&amp;Tabla7[[#This Row],[Gerente de obra]]</f>
        <v>RUTA 6BDL</v>
      </c>
      <c r="L548">
        <f>MATCH(Tabla7[[#This Row],[AUX]],Loockup_ObrasGerencia[[#All],[aux]],0)</f>
        <v>559</v>
      </c>
      <c r="O548" t="str">
        <f>UPPER(GERENCIAS[[#This Row],[Gerente de obra]])</f>
        <v>SIN OBRA ASIGNADA</v>
      </c>
      <c r="R548" t="s">
        <v>83</v>
      </c>
      <c r="S548" t="s">
        <v>82</v>
      </c>
      <c r="T548" t="s">
        <v>65</v>
      </c>
      <c r="W548" s="8" t="s">
        <v>1157</v>
      </c>
      <c r="X548" s="8" t="s">
        <v>1156</v>
      </c>
      <c r="Y548" s="8" t="s">
        <v>64</v>
      </c>
      <c r="Z548" t="str">
        <f t="shared" si="8"/>
        <v>PL ASF LINCADMINISTRACION</v>
      </c>
      <c r="AA548" s="11" t="e">
        <f>MATCH(Tabla9[[#This Row],[AUX]],Loockup_ObrasGerencia[[#All],[aux]],0)</f>
        <v>#N/A</v>
      </c>
    </row>
    <row r="549" spans="1:27" x14ac:dyDescent="0.25">
      <c r="A549" s="30" t="s">
        <v>1147</v>
      </c>
      <c r="B549" s="30" t="s">
        <v>1146</v>
      </c>
      <c r="C549" s="30" t="s">
        <v>64</v>
      </c>
      <c r="D549" s="30" t="str" cm="1">
        <f t="array" ref="D549">UPPER(_xlfn.XLOOKUP(Loockup_ObrasGerencia[[#This Row],[OBRA_PRONTO]],Tabla7[[#All],[Obra]],Tabla7[[#All],[Gerente de obra]],"Sin Obra Asignada",0))</f>
        <v>BDL</v>
      </c>
      <c r="E549" s="31" t="str">
        <f>Loockup_ObrasGerencia[[#This Row],[OBRA_PRONTO]]&amp;Loockup_ObrasGerencia[[#This Row],[GERENCIA]]</f>
        <v>MORENO NICARABDL</v>
      </c>
      <c r="H549" t="s">
        <v>1164</v>
      </c>
      <c r="I549" t="s">
        <v>1165</v>
      </c>
      <c r="J549" t="s">
        <v>1031</v>
      </c>
      <c r="K549" t="str">
        <f>Tabla7[[#This Row],[Obra]]&amp;Tabla7[[#This Row],[Gerente de obra]]</f>
        <v>RUTA 70 VIALMBDL</v>
      </c>
      <c r="L549">
        <f>MATCH(Tabla7[[#This Row],[AUX]],Loockup_ObrasGerencia[[#All],[aux]],0)</f>
        <v>560</v>
      </c>
      <c r="O549" t="str">
        <f>UPPER(GERENCIAS[[#This Row],[Gerente de obra]])</f>
        <v>SIN OBRA ASIGNADA</v>
      </c>
      <c r="R549" t="s">
        <v>125</v>
      </c>
      <c r="S549" t="s">
        <v>124</v>
      </c>
      <c r="T549" t="s">
        <v>65</v>
      </c>
      <c r="W549" s="8" t="s">
        <v>1159</v>
      </c>
      <c r="X549" s="8" t="s">
        <v>1158</v>
      </c>
      <c r="Y549" s="8" t="s">
        <v>64</v>
      </c>
      <c r="Z549" t="str">
        <f t="shared" si="8"/>
        <v>PLANTA DE ASFADMINISTRACION</v>
      </c>
      <c r="AA549" s="11" t="e">
        <f>MATCH(Tabla9[[#This Row],[AUX]],Loockup_ObrasGerencia[[#All],[aux]],0)</f>
        <v>#N/A</v>
      </c>
    </row>
    <row r="550" spans="1:27" x14ac:dyDescent="0.25">
      <c r="A550" s="30" t="s">
        <v>1149</v>
      </c>
      <c r="B550" s="30" t="s">
        <v>1148</v>
      </c>
      <c r="C550" s="30" t="s">
        <v>64</v>
      </c>
      <c r="D550" s="30" t="str" cm="1">
        <f t="array" ref="D550">UPPER(_xlfn.XLOOKUP(Loockup_ObrasGerencia[[#This Row],[OBRA_PRONTO]],Tabla7[[#All],[Obra]],Tabla7[[#All],[Gerente de obra]],"Sin Obra Asignada",0))</f>
        <v>BDL</v>
      </c>
      <c r="E550" s="31" t="str">
        <f>Loockup_ObrasGerencia[[#This Row],[OBRA_PRONTO]]&amp;Loockup_ObrasGerencia[[#This Row],[GERENCIA]]</f>
        <v>MORENO PROMEBBDL</v>
      </c>
      <c r="H550" t="s">
        <v>1166</v>
      </c>
      <c r="I550" t="s">
        <v>824</v>
      </c>
      <c r="J550" t="s">
        <v>18</v>
      </c>
      <c r="K550" t="str">
        <f>Tabla7[[#This Row],[Obra]]&amp;Tabla7[[#This Row],[Gerente de obra]]</f>
        <v>SALADILLOOrtiz Juan Manuel</v>
      </c>
      <c r="L550">
        <f>MATCH(Tabla7[[#This Row],[AUX]],Loockup_ObrasGerencia[[#All],[aux]],0)</f>
        <v>561</v>
      </c>
      <c r="O550" t="str">
        <f>UPPER(GERENCIAS[[#This Row],[Gerente de obra]])</f>
        <v>SIN OBRA ASIGNADA</v>
      </c>
      <c r="R550" t="s">
        <v>136</v>
      </c>
      <c r="S550" t="s">
        <v>135</v>
      </c>
      <c r="T550" t="s">
        <v>65</v>
      </c>
      <c r="W550" s="8" t="s">
        <v>1162</v>
      </c>
      <c r="X550" s="8" t="s">
        <v>1161</v>
      </c>
      <c r="Y550" s="8" t="s">
        <v>64</v>
      </c>
      <c r="Z550" t="str">
        <f t="shared" si="8"/>
        <v>RUTA 50 MARCAADMINISTRACION</v>
      </c>
      <c r="AA550" s="11" t="e">
        <f>MATCH(Tabla9[[#This Row],[AUX]],Loockup_ObrasGerencia[[#All],[aux]],0)</f>
        <v>#N/A</v>
      </c>
    </row>
    <row r="551" spans="1:27" x14ac:dyDescent="0.25">
      <c r="A551" s="30" t="s">
        <v>1151</v>
      </c>
      <c r="B551" s="30" t="s">
        <v>1150</v>
      </c>
      <c r="C551" s="30" t="s">
        <v>64</v>
      </c>
      <c r="D551" s="30" t="str" cm="1">
        <f t="array" ref="D551">UPPER(_xlfn.XLOOKUP(Loockup_ObrasGerencia[[#This Row],[OBRA_PRONTO]],Tabla7[[#All],[Obra]],Tabla7[[#All],[Gerente de obra]],"Sin Obra Asignada",0))</f>
        <v>BDL</v>
      </c>
      <c r="E551" s="31" t="str">
        <f>Loockup_ObrasGerencia[[#This Row],[OBRA_PRONTO]]&amp;Loockup_ObrasGerencia[[#This Row],[GERENCIA]]</f>
        <v>NECOBDL</v>
      </c>
      <c r="H551" t="s">
        <v>1208</v>
      </c>
      <c r="I551" t="s">
        <v>1208</v>
      </c>
      <c r="J551" t="s">
        <v>1401</v>
      </c>
      <c r="K551" t="str">
        <f>Tabla7[[#This Row],[Obra]]&amp;Tabla7[[#This Row],[Gerente de obra]]</f>
        <v>Sin ObraSIN ASIGNACION</v>
      </c>
      <c r="L551" t="e">
        <f>MATCH(Tabla7[[#This Row],[AUX]],Loockup_ObrasGerencia[[#All],[aux]],0)</f>
        <v>#N/A</v>
      </c>
      <c r="O551" t="str">
        <f>UPPER(GERENCIAS[[#This Row],[Gerente de obra]])</f>
        <v>SIN OBRA ASIGNADA</v>
      </c>
      <c r="R551" t="s">
        <v>147</v>
      </c>
      <c r="S551" t="s">
        <v>146</v>
      </c>
      <c r="T551" t="s">
        <v>65</v>
      </c>
      <c r="W551" s="8" t="s">
        <v>1163</v>
      </c>
      <c r="X551" s="8" t="s">
        <v>1163</v>
      </c>
      <c r="Y551" s="8" t="s">
        <v>64</v>
      </c>
      <c r="Z551" t="str">
        <f t="shared" si="8"/>
        <v>RUTA 6ADMINISTRACION</v>
      </c>
      <c r="AA551" s="11" t="e">
        <f>MATCH(Tabla9[[#This Row],[AUX]],Loockup_ObrasGerencia[[#All],[aux]],0)</f>
        <v>#N/A</v>
      </c>
    </row>
    <row r="552" spans="1:27" x14ac:dyDescent="0.25">
      <c r="A552" s="30" t="s">
        <v>1152</v>
      </c>
      <c r="B552" s="30" t="s">
        <v>1152</v>
      </c>
      <c r="C552" s="30" t="s">
        <v>64</v>
      </c>
      <c r="D552" s="30" t="str" cm="1">
        <f t="array" ref="D552">UPPER(_xlfn.XLOOKUP(Loockup_ObrasGerencia[[#This Row],[OBRA_PRONTO]],Tabla7[[#All],[Obra]],Tabla7[[#All],[Gerente de obra]],"Sin Obra Asignada",0))</f>
        <v>BDL</v>
      </c>
      <c r="E552" s="31" t="str">
        <f>Loockup_ObrasGerencia[[#This Row],[OBRA_PRONTO]]&amp;Loockup_ObrasGerencia[[#This Row],[GERENCIA]]</f>
        <v>NECOCHEABDL</v>
      </c>
      <c r="H552" t="s">
        <v>1167</v>
      </c>
      <c r="I552" t="s">
        <v>1167</v>
      </c>
      <c r="J552" t="s">
        <v>1031</v>
      </c>
      <c r="K552" t="str">
        <f>Tabla7[[#This Row],[Obra]]&amp;Tabla7[[#This Row],[Gerente de obra]]</f>
        <v>SOFSEBDL</v>
      </c>
      <c r="L552">
        <f>MATCH(Tabla7[[#This Row],[AUX]],Loockup_ObrasGerencia[[#All],[aux]],0)</f>
        <v>564</v>
      </c>
      <c r="O552" t="str">
        <f>UPPER(GERENCIAS[[#This Row],[Gerente de obra]])</f>
        <v>SIN OBRA ASIGNADA</v>
      </c>
      <c r="R552" t="s">
        <v>151</v>
      </c>
      <c r="S552" t="s">
        <v>150</v>
      </c>
      <c r="T552" t="s">
        <v>65</v>
      </c>
      <c r="W552" s="8" t="s">
        <v>1165</v>
      </c>
      <c r="X552" s="8" t="s">
        <v>1164</v>
      </c>
      <c r="Y552" s="8" t="s">
        <v>64</v>
      </c>
      <c r="Z552" t="str">
        <f t="shared" si="8"/>
        <v>RUTA 70 VIALMADMINISTRACION</v>
      </c>
      <c r="AA552" s="11" t="e">
        <f>MATCH(Tabla9[[#This Row],[AUX]],Loockup_ObrasGerencia[[#All],[aux]],0)</f>
        <v>#N/A</v>
      </c>
    </row>
    <row r="553" spans="1:27" x14ac:dyDescent="0.25">
      <c r="A553" s="30" t="s">
        <v>1153</v>
      </c>
      <c r="B553" s="30" t="s">
        <v>1153</v>
      </c>
      <c r="C553" s="30" t="s">
        <v>17</v>
      </c>
      <c r="D553" s="30" t="str" cm="1">
        <f t="array" ref="D553">UPPER(_xlfn.XLOOKUP(Loockup_ObrasGerencia[[#This Row],[OBRA_PRONTO]],Tabla7[[#All],[Obra]],Tabla7[[#All],[Gerente de obra]],"Sin Obra Asignada",0))</f>
        <v>BDL</v>
      </c>
      <c r="E553" s="31" t="str">
        <f>Loockup_ObrasGerencia[[#This Row],[OBRA_PRONTO]]&amp;Loockup_ObrasGerencia[[#This Row],[GERENCIA]]</f>
        <v>OBRAS POSEBDL</v>
      </c>
      <c r="H553" t="s">
        <v>1062</v>
      </c>
      <c r="I553" t="s">
        <v>1062</v>
      </c>
      <c r="J553" t="s">
        <v>29</v>
      </c>
      <c r="K553" t="str">
        <f>Tabla7[[#This Row],[Obra]]&amp;Tabla7[[#This Row],[Gerente de obra]]</f>
        <v>TALLERDiego Ibañez</v>
      </c>
      <c r="L553">
        <f>MATCH(Tabla7[[#This Row],[AUX]],Loockup_ObrasGerencia[[#All],[aux]],0)</f>
        <v>565</v>
      </c>
      <c r="O553" t="str">
        <f>UPPER(GERENCIAS[[#This Row],[Gerente de obra]])</f>
        <v>SIN OBRA ASIGNADA</v>
      </c>
      <c r="R553" t="s">
        <v>170</v>
      </c>
      <c r="S553" t="s">
        <v>171</v>
      </c>
      <c r="T553" t="s">
        <v>65</v>
      </c>
      <c r="W553" s="8" t="s">
        <v>824</v>
      </c>
      <c r="X553" s="8" t="s">
        <v>1166</v>
      </c>
      <c r="Y553" s="8" t="s">
        <v>17</v>
      </c>
      <c r="Z553" t="str">
        <f t="shared" si="8"/>
        <v>SALADILLOSI</v>
      </c>
      <c r="AA553" s="11" t="e">
        <f>MATCH(Tabla9[[#This Row],[AUX]],Loockup_ObrasGerencia[[#All],[aux]],0)</f>
        <v>#N/A</v>
      </c>
    </row>
    <row r="554" spans="1:27" x14ac:dyDescent="0.25">
      <c r="A554" s="30" t="s">
        <v>1154</v>
      </c>
      <c r="B554" s="30" t="s">
        <v>1154</v>
      </c>
      <c r="C554" s="30" t="s">
        <v>64</v>
      </c>
      <c r="D554" s="30" t="str" cm="1">
        <f t="array" ref="D554">UPPER(_xlfn.XLOOKUP(Loockup_ObrasGerencia[[#This Row],[OBRA_PRONTO]],Tabla7[[#All],[Obra]],Tabla7[[#All],[Gerente de obra]],"Sin Obra Asignada",0))</f>
        <v>BDL</v>
      </c>
      <c r="E554" s="31" t="str">
        <f>Loockup_ObrasGerencia[[#This Row],[OBRA_PRONTO]]&amp;Loockup_ObrasGerencia[[#This Row],[GERENCIA]]</f>
        <v>PEARSON SPARBDL</v>
      </c>
      <c r="H554" t="s">
        <v>1171</v>
      </c>
      <c r="I554" t="s">
        <v>781</v>
      </c>
      <c r="J554" t="s">
        <v>79</v>
      </c>
      <c r="K554" t="str">
        <f>Tabla7[[#This Row],[Obra]]&amp;Tabla7[[#This Row],[Gerente de obra]]</f>
        <v>TALLER LIC 03-2015Francisco Di Lisio</v>
      </c>
      <c r="L554" t="e">
        <f>MATCH(Tabla7[[#This Row],[AUX]],Loockup_ObrasGerencia[[#All],[aux]],0)</f>
        <v>#N/A</v>
      </c>
      <c r="O554" t="str">
        <f>UPPER(GERENCIAS[[#This Row],[Gerente de obra]])</f>
        <v>SIN OBRA ASIGNADA</v>
      </c>
      <c r="R554" t="s">
        <v>251</v>
      </c>
      <c r="S554" t="s">
        <v>252</v>
      </c>
      <c r="T554" t="s">
        <v>65</v>
      </c>
      <c r="W554" s="8" t="s">
        <v>1205</v>
      </c>
      <c r="X554" s="8" t="s">
        <v>1206</v>
      </c>
      <c r="Y554" s="8" t="s">
        <v>64</v>
      </c>
      <c r="Z554" t="str">
        <f t="shared" si="8"/>
        <v>SED3ADMINISTRACION</v>
      </c>
      <c r="AA554" s="11" t="e">
        <f>MATCH(Tabla9[[#This Row],[AUX]],Loockup_ObrasGerencia[[#All],[aux]],0)</f>
        <v>#N/A</v>
      </c>
    </row>
    <row r="555" spans="1:27" x14ac:dyDescent="0.25">
      <c r="A555" s="30" t="s">
        <v>1155</v>
      </c>
      <c r="B555" s="30" t="s">
        <v>1155</v>
      </c>
      <c r="C555" s="30" t="s">
        <v>64</v>
      </c>
      <c r="D555" s="30" t="str" cm="1">
        <f t="array" ref="D555">UPPER(_xlfn.XLOOKUP(Loockup_ObrasGerencia[[#This Row],[OBRA_PRONTO]],Tabla7[[#All],[Obra]],Tabla7[[#All],[Gerente de obra]],"Sin Obra Asignada",0))</f>
        <v>BDL</v>
      </c>
      <c r="E555" s="31" t="str">
        <f>Loockup_ObrasGerencia[[#This Row],[OBRA_PRONTO]]&amp;Loockup_ObrasGerencia[[#This Row],[GERENCIA]]</f>
        <v>PILAR VERAZULBDL</v>
      </c>
      <c r="H555" t="s">
        <v>1172</v>
      </c>
      <c r="I555" t="s">
        <v>1173</v>
      </c>
      <c r="J555" t="s">
        <v>1031</v>
      </c>
      <c r="K555" t="str">
        <f>Tabla7[[#This Row],[Obra]]&amp;Tabla7[[#This Row],[Gerente de obra]]</f>
        <v>TARJETA 0465BDL</v>
      </c>
      <c r="L555">
        <f>MATCH(Tabla7[[#This Row],[AUX]],Loockup_ObrasGerencia[[#All],[aux]],0)</f>
        <v>567</v>
      </c>
      <c r="O555" t="str">
        <f>UPPER(GERENCIAS[[#This Row],[Gerente de obra]])</f>
        <v>SIN OBRA ASIGNADA</v>
      </c>
      <c r="R555" t="s">
        <v>255</v>
      </c>
      <c r="S555" t="s">
        <v>256</v>
      </c>
      <c r="T555" t="s">
        <v>65</v>
      </c>
      <c r="W555" s="8" t="s">
        <v>1167</v>
      </c>
      <c r="X555" s="8" t="s">
        <v>1167</v>
      </c>
      <c r="Y555" s="8" t="s">
        <v>64</v>
      </c>
      <c r="Z555" t="str">
        <f t="shared" si="8"/>
        <v>SOFSEADMINISTRACION</v>
      </c>
      <c r="AA555" s="11" t="e">
        <f>MATCH(Tabla9[[#This Row],[AUX]],Loockup_ObrasGerencia[[#All],[aux]],0)</f>
        <v>#N/A</v>
      </c>
    </row>
    <row r="556" spans="1:27" x14ac:dyDescent="0.25">
      <c r="A556" s="30" t="s">
        <v>1157</v>
      </c>
      <c r="B556" s="30" t="s">
        <v>1156</v>
      </c>
      <c r="C556" s="30" t="s">
        <v>64</v>
      </c>
      <c r="D556" s="30" t="str" cm="1">
        <f t="array" ref="D556">UPPER(_xlfn.XLOOKUP(Loockup_ObrasGerencia[[#This Row],[OBRA_PRONTO]],Tabla7[[#All],[Obra]],Tabla7[[#All],[Gerente de obra]],"Sin Obra Asignada",0))</f>
        <v>BDL</v>
      </c>
      <c r="E556" s="31" t="str">
        <f>Loockup_ObrasGerencia[[#This Row],[OBRA_PRONTO]]&amp;Loockup_ObrasGerencia[[#This Row],[GERENCIA]]</f>
        <v>PL ASF LINCBDL</v>
      </c>
      <c r="H556" t="s">
        <v>1174</v>
      </c>
      <c r="I556" t="s">
        <v>1175</v>
      </c>
      <c r="J556" t="s">
        <v>1031</v>
      </c>
      <c r="K556" t="str">
        <f>Tabla7[[#This Row],[Obra]]&amp;Tabla7[[#This Row],[Gerente de obra]]</f>
        <v>TARJETA 1030BDL</v>
      </c>
      <c r="L556">
        <f>MATCH(Tabla7[[#This Row],[AUX]],Loockup_ObrasGerencia[[#All],[aux]],0)</f>
        <v>568</v>
      </c>
      <c r="O556" t="str">
        <f>UPPER(GERENCIAS[[#This Row],[Gerente de obra]])</f>
        <v>SIN OBRA ASIGNADA</v>
      </c>
      <c r="R556" t="s">
        <v>259</v>
      </c>
      <c r="S556" t="s">
        <v>260</v>
      </c>
      <c r="T556" t="s">
        <v>65</v>
      </c>
      <c r="W556" s="8" t="s">
        <v>1062</v>
      </c>
      <c r="X556" s="8" t="s">
        <v>1062</v>
      </c>
      <c r="Y556" s="8" t="s">
        <v>64</v>
      </c>
      <c r="Z556" t="str">
        <f t="shared" si="8"/>
        <v>TALLERADMINISTRACION</v>
      </c>
      <c r="AA556" s="11" t="e">
        <f>MATCH(Tabla9[[#This Row],[AUX]],Loockup_ObrasGerencia[[#All],[aux]],0)</f>
        <v>#N/A</v>
      </c>
    </row>
    <row r="557" spans="1:27" x14ac:dyDescent="0.25">
      <c r="A557" s="30" t="s">
        <v>1159</v>
      </c>
      <c r="B557" s="30" t="s">
        <v>1158</v>
      </c>
      <c r="C557" s="30" t="s">
        <v>64</v>
      </c>
      <c r="D557" s="30" t="str" cm="1">
        <f t="array" ref="D557">UPPER(_xlfn.XLOOKUP(Loockup_ObrasGerencia[[#This Row],[OBRA_PRONTO]],Tabla7[[#All],[Obra]],Tabla7[[#All],[Gerente de obra]],"Sin Obra Asignada",0))</f>
        <v>BDL</v>
      </c>
      <c r="E557" s="31" t="str">
        <f>Loockup_ObrasGerencia[[#This Row],[OBRA_PRONTO]]&amp;Loockup_ObrasGerencia[[#This Row],[GERENCIA]]</f>
        <v>PLANTA DE ASFBDL</v>
      </c>
      <c r="H557" t="s">
        <v>1176</v>
      </c>
      <c r="I557" t="s">
        <v>1177</v>
      </c>
      <c r="J557" t="s">
        <v>1031</v>
      </c>
      <c r="K557" t="str">
        <f>Tabla7[[#This Row],[Obra]]&amp;Tabla7[[#This Row],[Gerente de obra]]</f>
        <v>TARJETA 2727BDL</v>
      </c>
      <c r="L557">
        <f>MATCH(Tabla7[[#This Row],[AUX]],Loockup_ObrasGerencia[[#All],[aux]],0)</f>
        <v>569</v>
      </c>
      <c r="O557" t="str">
        <f>UPPER(GERENCIAS[[#This Row],[Gerente de obra]])</f>
        <v>SIN OBRA ASIGNADA</v>
      </c>
      <c r="R557" t="s">
        <v>294</v>
      </c>
      <c r="S557" t="s">
        <v>295</v>
      </c>
      <c r="T557" t="s">
        <v>65</v>
      </c>
      <c r="W557" s="8" t="s">
        <v>1182</v>
      </c>
      <c r="X557" s="8" t="s">
        <v>1181</v>
      </c>
      <c r="Y557" s="8" t="s">
        <v>64</v>
      </c>
      <c r="Z557" t="str">
        <f t="shared" si="8"/>
        <v>TALLER REPARAADMINISTRACION</v>
      </c>
      <c r="AA557" s="11" t="e">
        <f>MATCH(Tabla9[[#This Row],[AUX]],Loockup_ObrasGerencia[[#All],[aux]],0)</f>
        <v>#N/A</v>
      </c>
    </row>
    <row r="558" spans="1:27" x14ac:dyDescent="0.25">
      <c r="A558" s="30" t="s">
        <v>1162</v>
      </c>
      <c r="B558" s="30" t="s">
        <v>1161</v>
      </c>
      <c r="C558" s="30" t="s">
        <v>64</v>
      </c>
      <c r="D558" s="30" t="str" cm="1">
        <f t="array" ref="D558">UPPER(_xlfn.XLOOKUP(Loockup_ObrasGerencia[[#This Row],[OBRA_PRONTO]],Tabla7[[#All],[Obra]],Tabla7[[#All],[Gerente de obra]],"Sin Obra Asignada",0))</f>
        <v>BDL</v>
      </c>
      <c r="E558" s="31" t="str">
        <f>Loockup_ObrasGerencia[[#This Row],[OBRA_PRONTO]]&amp;Loockup_ObrasGerencia[[#This Row],[GERENCIA]]</f>
        <v>RUTA 50 MARCABDL</v>
      </c>
      <c r="H558" t="s">
        <v>1178</v>
      </c>
      <c r="I558" t="s">
        <v>1179</v>
      </c>
      <c r="J558" t="s">
        <v>1031</v>
      </c>
      <c r="K558" t="str">
        <f>Tabla7[[#This Row],[Obra]]&amp;Tabla7[[#This Row],[Gerente de obra]]</f>
        <v>TARJETA 2735BDL</v>
      </c>
      <c r="L558">
        <f>MATCH(Tabla7[[#This Row],[AUX]],Loockup_ObrasGerencia[[#All],[aux]],0)</f>
        <v>570</v>
      </c>
      <c r="O558" t="str">
        <f>UPPER(GERENCIAS[[#This Row],[Gerente de obra]])</f>
        <v>SIN OBRA ASIGNADA</v>
      </c>
      <c r="R558" t="s">
        <v>298</v>
      </c>
      <c r="S558" t="s">
        <v>299</v>
      </c>
      <c r="T558" t="s">
        <v>65</v>
      </c>
      <c r="W558" s="8" t="s">
        <v>1173</v>
      </c>
      <c r="X558" s="8" t="s">
        <v>1172</v>
      </c>
      <c r="Y558" s="8" t="s">
        <v>64</v>
      </c>
      <c r="Z558" t="str">
        <f t="shared" si="8"/>
        <v>TARJETA 0465ADMINISTRACION</v>
      </c>
      <c r="AA558" s="11" t="e">
        <f>MATCH(Tabla9[[#This Row],[AUX]],Loockup_ObrasGerencia[[#All],[aux]],0)</f>
        <v>#N/A</v>
      </c>
    </row>
    <row r="559" spans="1:27" x14ac:dyDescent="0.25">
      <c r="A559" s="30" t="s">
        <v>1163</v>
      </c>
      <c r="B559" s="30" t="s">
        <v>1163</v>
      </c>
      <c r="C559" s="30" t="s">
        <v>64</v>
      </c>
      <c r="D559" s="30" t="str" cm="1">
        <f t="array" ref="D559">UPPER(_xlfn.XLOOKUP(Loockup_ObrasGerencia[[#This Row],[OBRA_PRONTO]],Tabla7[[#All],[Obra]],Tabla7[[#All],[Gerente de obra]],"Sin Obra Asignada",0))</f>
        <v>BDL</v>
      </c>
      <c r="E559" s="31" t="str">
        <f>Loockup_ObrasGerencia[[#This Row],[OBRA_PRONTO]]&amp;Loockup_ObrasGerencia[[#This Row],[GERENCIA]]</f>
        <v>RUTA 6BDL</v>
      </c>
      <c r="H559" t="s">
        <v>1183</v>
      </c>
      <c r="I559" t="s">
        <v>1184</v>
      </c>
      <c r="J559" t="s">
        <v>1031</v>
      </c>
      <c r="K559" t="str">
        <f>Tabla7[[#This Row],[Obra]]&amp;Tabla7[[#This Row],[Gerente de obra]]</f>
        <v>TARJETA 46980BDL</v>
      </c>
      <c r="L559">
        <f>MATCH(Tabla7[[#This Row],[AUX]],Loockup_ObrasGerencia[[#All],[aux]],0)</f>
        <v>571</v>
      </c>
      <c r="O559" t="str">
        <f>UPPER(GERENCIAS[[#This Row],[Gerente de obra]])</f>
        <v>SIN OBRA ASIGNADA</v>
      </c>
      <c r="R559" t="s">
        <v>318</v>
      </c>
      <c r="S559" t="s">
        <v>319</v>
      </c>
      <c r="T559" t="s">
        <v>65</v>
      </c>
      <c r="W559" s="8" t="s">
        <v>1175</v>
      </c>
      <c r="X559" s="8" t="s">
        <v>1174</v>
      </c>
      <c r="Y559" s="8" t="s">
        <v>64</v>
      </c>
      <c r="Z559" t="str">
        <f t="shared" si="8"/>
        <v>TARJETA 1030ADMINISTRACION</v>
      </c>
      <c r="AA559" s="11" t="e">
        <f>MATCH(Tabla9[[#This Row],[AUX]],Loockup_ObrasGerencia[[#All],[aux]],0)</f>
        <v>#N/A</v>
      </c>
    </row>
    <row r="560" spans="1:27" x14ac:dyDescent="0.25">
      <c r="A560" s="30" t="s">
        <v>1165</v>
      </c>
      <c r="B560" s="30" t="s">
        <v>1164</v>
      </c>
      <c r="C560" s="30" t="s">
        <v>64</v>
      </c>
      <c r="D560" s="30" t="str" cm="1">
        <f t="array" ref="D560">UPPER(_xlfn.XLOOKUP(Loockup_ObrasGerencia[[#This Row],[OBRA_PRONTO]],Tabla7[[#All],[Obra]],Tabla7[[#All],[Gerente de obra]],"Sin Obra Asignada",0))</f>
        <v>BDL</v>
      </c>
      <c r="E560" s="31" t="str">
        <f>Loockup_ObrasGerencia[[#This Row],[OBRA_PRONTO]]&amp;Loockup_ObrasGerencia[[#This Row],[GERENCIA]]</f>
        <v>RUTA 70 VIALMBDL</v>
      </c>
      <c r="H560" t="s">
        <v>1185</v>
      </c>
      <c r="I560" t="s">
        <v>1186</v>
      </c>
      <c r="J560" t="s">
        <v>1031</v>
      </c>
      <c r="K560" t="str">
        <f>Tabla7[[#This Row],[Obra]]&amp;Tabla7[[#This Row],[Gerente de obra]]</f>
        <v>TARJETA 6651BDL</v>
      </c>
      <c r="L560">
        <f>MATCH(Tabla7[[#This Row],[AUX]],Loockup_ObrasGerencia[[#All],[aux]],0)</f>
        <v>572</v>
      </c>
      <c r="O560" t="str">
        <f>UPPER(GERENCIAS[[#This Row],[Gerente de obra]])</f>
        <v>SIN OBRA ASIGNADA</v>
      </c>
      <c r="R560" t="s">
        <v>328</v>
      </c>
      <c r="S560" t="s">
        <v>329</v>
      </c>
      <c r="T560" t="s">
        <v>65</v>
      </c>
      <c r="W560" s="8" t="s">
        <v>1177</v>
      </c>
      <c r="X560" s="8" t="s">
        <v>1176</v>
      </c>
      <c r="Y560" s="8" t="s">
        <v>64</v>
      </c>
      <c r="Z560" t="str">
        <f t="shared" si="8"/>
        <v>TARJETA 2727ADMINISTRACION</v>
      </c>
      <c r="AA560" s="11" t="e">
        <f>MATCH(Tabla9[[#This Row],[AUX]],Loockup_ObrasGerencia[[#All],[aux]],0)</f>
        <v>#N/A</v>
      </c>
    </row>
    <row r="561" spans="1:27" x14ac:dyDescent="0.25">
      <c r="A561" s="30" t="s">
        <v>824</v>
      </c>
      <c r="B561" s="30" t="s">
        <v>1166</v>
      </c>
      <c r="C561" s="30" t="s">
        <v>17</v>
      </c>
      <c r="D561" s="30" t="str" cm="1">
        <f t="array" ref="D561">UPPER(_xlfn.XLOOKUP(Loockup_ObrasGerencia[[#This Row],[OBRA_PRONTO]],Tabla7[[#All],[Obra]],Tabla7[[#All],[Gerente de obra]],"Sin Obra Asignada",0))</f>
        <v>ORTIZ JUAN MANUEL</v>
      </c>
      <c r="E561" s="31" t="str">
        <f>Loockup_ObrasGerencia[[#This Row],[OBRA_PRONTO]]&amp;Loockup_ObrasGerencia[[#This Row],[GERENCIA]]</f>
        <v>SALADILLOORTIZ JUAN MANUEL</v>
      </c>
      <c r="H561" t="s">
        <v>1187</v>
      </c>
      <c r="I561" t="s">
        <v>1188</v>
      </c>
      <c r="J561" t="s">
        <v>1031</v>
      </c>
      <c r="K561" t="str">
        <f>Tabla7[[#This Row],[Obra]]&amp;Tabla7[[#This Row],[Gerente de obra]]</f>
        <v>TARJETA 6823BDL</v>
      </c>
      <c r="L561">
        <f>MATCH(Tabla7[[#This Row],[AUX]],Loockup_ObrasGerencia[[#All],[aux]],0)</f>
        <v>573</v>
      </c>
      <c r="O561" t="str">
        <f>UPPER(GERENCIAS[[#This Row],[Gerente de obra]])</f>
        <v>SIN OBRA ASIGNADA</v>
      </c>
      <c r="R561" t="s">
        <v>354</v>
      </c>
      <c r="S561" t="s">
        <v>355</v>
      </c>
      <c r="T561" t="s">
        <v>65</v>
      </c>
      <c r="W561" s="8" t="s">
        <v>1179</v>
      </c>
      <c r="X561" s="8" t="s">
        <v>1178</v>
      </c>
      <c r="Y561" s="8" t="s">
        <v>64</v>
      </c>
      <c r="Z561" t="str">
        <f t="shared" si="8"/>
        <v>TARJETA 2735ADMINISTRACION</v>
      </c>
      <c r="AA561" s="11" t="e">
        <f>MATCH(Tabla9[[#This Row],[AUX]],Loockup_ObrasGerencia[[#All],[aux]],0)</f>
        <v>#N/A</v>
      </c>
    </row>
    <row r="562" spans="1:27" x14ac:dyDescent="0.25">
      <c r="A562" s="30" t="s">
        <v>1205</v>
      </c>
      <c r="B562" s="30" t="s">
        <v>1206</v>
      </c>
      <c r="C562" s="30" t="s">
        <v>64</v>
      </c>
      <c r="D562" s="30" t="str" cm="1">
        <f t="array" ref="D562">UPPER(_xlfn.XLOOKUP(Loockup_ObrasGerencia[[#This Row],[OBRA_PRONTO]],Tabla7[[#All],[Obra]],Tabla7[[#All],[Gerente de obra]],"Sin Obra Asignada",0))</f>
        <v>SIN OBRA ASIGNADA</v>
      </c>
      <c r="E562" s="31" t="str">
        <f>Loockup_ObrasGerencia[[#This Row],[OBRA_PRONTO]]&amp;Loockup_ObrasGerencia[[#This Row],[GERENCIA]]</f>
        <v>SED3SIN OBRA ASIGNADA</v>
      </c>
      <c r="H562" t="s">
        <v>1189</v>
      </c>
      <c r="I562" t="s">
        <v>1190</v>
      </c>
      <c r="J562" t="s">
        <v>1031</v>
      </c>
      <c r="K562" t="str">
        <f>Tabla7[[#This Row],[Obra]]&amp;Tabla7[[#This Row],[Gerente de obra]]</f>
        <v>TARJETA 9660BDL</v>
      </c>
      <c r="L562">
        <f>MATCH(Tabla7[[#This Row],[AUX]],Loockup_ObrasGerencia[[#All],[aux]],0)</f>
        <v>574</v>
      </c>
      <c r="O562" t="str">
        <f>UPPER(GERENCIAS[[#This Row],[Gerente de obra]])</f>
        <v>FRANCISCO DI LISIO</v>
      </c>
      <c r="R562" t="s">
        <v>1051</v>
      </c>
      <c r="S562" t="s">
        <v>1052</v>
      </c>
      <c r="T562" t="s">
        <v>78</v>
      </c>
      <c r="W562" s="8" t="s">
        <v>1184</v>
      </c>
      <c r="X562" s="8" t="s">
        <v>1183</v>
      </c>
      <c r="Y562" s="8" t="s">
        <v>64</v>
      </c>
      <c r="Z562" t="str">
        <f t="shared" si="8"/>
        <v>TARJETA 46980ADMINISTRACION</v>
      </c>
      <c r="AA562" s="11" t="e">
        <f>MATCH(Tabla9[[#This Row],[AUX]],Loockup_ObrasGerencia[[#All],[aux]],0)</f>
        <v>#N/A</v>
      </c>
    </row>
    <row r="563" spans="1:27" x14ac:dyDescent="0.25">
      <c r="A563" s="33" t="s">
        <v>1207</v>
      </c>
      <c r="B563" s="7" t="s">
        <v>1207</v>
      </c>
      <c r="C563" s="34" t="s">
        <v>17</v>
      </c>
      <c r="D563" s="34" t="s">
        <v>65</v>
      </c>
      <c r="E563" s="36">
        <v>582</v>
      </c>
      <c r="H563" t="s">
        <v>1191</v>
      </c>
      <c r="I563" t="s">
        <v>1192</v>
      </c>
      <c r="J563" t="s">
        <v>1031</v>
      </c>
      <c r="K563" t="str">
        <f>Tabla7[[#This Row],[Obra]]&amp;Tabla7[[#This Row],[Gerente de obra]]</f>
        <v>TARJETA 9869BDL</v>
      </c>
      <c r="L563">
        <f>MATCH(Tabla7[[#This Row],[AUX]],Loockup_ObrasGerencia[[#All],[aux]],0)</f>
        <v>575</v>
      </c>
      <c r="O563" t="str">
        <f>UPPER(GERENCIAS[[#This Row],[Gerente de obra]])</f>
        <v>FRANCISCO DI LISIO</v>
      </c>
      <c r="R563" t="s">
        <v>1054</v>
      </c>
      <c r="S563" t="s">
        <v>1055</v>
      </c>
      <c r="T563" t="s">
        <v>78</v>
      </c>
      <c r="W563" s="8" t="s">
        <v>1186</v>
      </c>
      <c r="X563" s="8" t="s">
        <v>1185</v>
      </c>
      <c r="Y563" s="8" t="s">
        <v>64</v>
      </c>
      <c r="Z563" t="str">
        <f t="shared" si="8"/>
        <v>TARJETA 6651ADMINISTRACION</v>
      </c>
      <c r="AA563" s="11" t="e">
        <f>MATCH(Tabla9[[#This Row],[AUX]],Loockup_ObrasGerencia[[#All],[aux]],0)</f>
        <v>#N/A</v>
      </c>
    </row>
    <row r="564" spans="1:27" x14ac:dyDescent="0.25">
      <c r="A564" s="30" t="s">
        <v>1167</v>
      </c>
      <c r="B564" s="30" t="s">
        <v>1167</v>
      </c>
      <c r="C564" s="30" t="s">
        <v>64</v>
      </c>
      <c r="D564" s="30" t="str" cm="1">
        <f t="array" ref="D564">UPPER(_xlfn.XLOOKUP(Loockup_ObrasGerencia[[#This Row],[OBRA_PRONTO]],Tabla7[[#All],[Obra]],Tabla7[[#All],[Gerente de obra]],"Sin Obra Asignada",0))</f>
        <v>BDL</v>
      </c>
      <c r="E564" s="31" t="str">
        <f>Loockup_ObrasGerencia[[#This Row],[OBRA_PRONTO]]&amp;Loockup_ObrasGerencia[[#This Row],[GERENCIA]]</f>
        <v>SOFSEBDL</v>
      </c>
      <c r="H564" t="s">
        <v>1193</v>
      </c>
      <c r="I564" t="s">
        <v>1193</v>
      </c>
      <c r="J564" t="s">
        <v>1031</v>
      </c>
      <c r="K564" t="str">
        <f>Tabla7[[#This Row],[Obra]]&amp;Tabla7[[#This Row],[Gerente de obra]]</f>
        <v>TIGRE AYSABDL</v>
      </c>
      <c r="L564">
        <f>MATCH(Tabla7[[#This Row],[AUX]],Loockup_ObrasGerencia[[#All],[aux]],0)</f>
        <v>576</v>
      </c>
      <c r="O564" t="str">
        <f>UPPER(GERENCIAS[[#This Row],[Gerente de obra]])</f>
        <v>FRANCISCO DI LISIO</v>
      </c>
      <c r="R564" t="s">
        <v>1058</v>
      </c>
      <c r="S564" t="s">
        <v>1059</v>
      </c>
      <c r="T564" t="s">
        <v>78</v>
      </c>
      <c r="W564" s="8" t="s">
        <v>1188</v>
      </c>
      <c r="X564" s="8" t="s">
        <v>1187</v>
      </c>
      <c r="Y564" s="8" t="s">
        <v>64</v>
      </c>
      <c r="Z564" t="str">
        <f t="shared" si="8"/>
        <v>TARJETA 6823ADMINISTRACION</v>
      </c>
      <c r="AA564" s="11" t="e">
        <f>MATCH(Tabla9[[#This Row],[AUX]],Loockup_ObrasGerencia[[#All],[aux]],0)</f>
        <v>#N/A</v>
      </c>
    </row>
    <row r="565" spans="1:27" x14ac:dyDescent="0.25">
      <c r="A565" s="32" t="s">
        <v>1062</v>
      </c>
      <c r="B565" s="32" t="s">
        <v>1062</v>
      </c>
      <c r="C565" s="32" t="s">
        <v>64</v>
      </c>
      <c r="D565" s="30" t="str" cm="1">
        <f t="array" ref="D565">UPPER(_xlfn.XLOOKUP(Loockup_ObrasGerencia[[#This Row],[OBRA_PRONTO]],Tabla7[[#All],[Obra]],Tabla7[[#All],[Gerente de obra]],"Sin Obra Asignada",0))</f>
        <v>DIEGO IBAÑEZ</v>
      </c>
      <c r="E565" s="31" t="str">
        <f>Loockup_ObrasGerencia[[#This Row],[OBRA_PRONTO]]&amp;Loockup_ObrasGerencia[[#This Row],[GERENCIA]]</f>
        <v>TALLERDIEGO IBAÑEZ</v>
      </c>
      <c r="H565" t="s">
        <v>1194</v>
      </c>
      <c r="I565" t="s">
        <v>1194</v>
      </c>
      <c r="J565" t="s">
        <v>1031</v>
      </c>
      <c r="K565" t="str">
        <f>Tabla7[[#This Row],[Obra]]&amp;Tabla7[[#This Row],[Gerente de obra]]</f>
        <v>UDAONDOBDL</v>
      </c>
      <c r="L565">
        <f>MATCH(Tabla7[[#This Row],[AUX]],Loockup_ObrasGerencia[[#All],[aux]],0)</f>
        <v>577</v>
      </c>
      <c r="O565" t="str">
        <f>UPPER(GERENCIAS[[#This Row],[Gerente de obra]])</f>
        <v>FRANCISCO DI LISIO</v>
      </c>
      <c r="R565" t="s">
        <v>1063</v>
      </c>
      <c r="S565" t="s">
        <v>1064</v>
      </c>
      <c r="T565" t="s">
        <v>78</v>
      </c>
      <c r="W565" s="8" t="s">
        <v>1190</v>
      </c>
      <c r="X565" s="8" t="s">
        <v>1189</v>
      </c>
      <c r="Y565" s="8" t="s">
        <v>64</v>
      </c>
      <c r="Z565" t="str">
        <f t="shared" si="8"/>
        <v>TARJETA 9660ADMINISTRACION</v>
      </c>
      <c r="AA565" s="11" t="e">
        <f>MATCH(Tabla9[[#This Row],[AUX]],Loockup_ObrasGerencia[[#All],[aux]],0)</f>
        <v>#N/A</v>
      </c>
    </row>
    <row r="566" spans="1:27" x14ac:dyDescent="0.25">
      <c r="A566" s="30" t="s">
        <v>1182</v>
      </c>
      <c r="B566" s="30" t="s">
        <v>1181</v>
      </c>
      <c r="C566" s="30" t="s">
        <v>64</v>
      </c>
      <c r="D566" s="30" t="str" cm="1">
        <f t="array" ref="D566">UPPER(_xlfn.XLOOKUP(Loockup_ObrasGerencia[[#This Row],[OBRA_PRONTO]],Tabla7[[#All],[Obra]],Tabla7[[#All],[Gerente de obra]],"Sin Obra Asignada",0))</f>
        <v>DIEGO IBAÑEZ</v>
      </c>
      <c r="E566" s="31" t="str">
        <f>Loockup_ObrasGerencia[[#This Row],[OBRA_PRONTO]]&amp;Loockup_ObrasGerencia[[#This Row],[GERENCIA]]</f>
        <v>TALLER REPARADIEGO IBAÑEZ</v>
      </c>
      <c r="H566" t="s">
        <v>1195</v>
      </c>
      <c r="I566" t="s">
        <v>1196</v>
      </c>
      <c r="J566" t="s">
        <v>1031</v>
      </c>
      <c r="K566" t="str">
        <f>Tabla7[[#This Row],[Obra]]&amp;Tabla7[[#This Row],[Gerente de obra]]</f>
        <v>UNSAMBDL</v>
      </c>
      <c r="L566">
        <f>MATCH(Tabla7[[#This Row],[AUX]],Loockup_ObrasGerencia[[#All],[aux]],0)</f>
        <v>578</v>
      </c>
      <c r="O566" t="str">
        <f>UPPER(GERENCIAS[[#This Row],[Gerente de obra]])</f>
        <v>SIN OBRA ASIGNADA</v>
      </c>
      <c r="R566" t="s">
        <v>1170</v>
      </c>
      <c r="S566" t="s">
        <v>1170</v>
      </c>
      <c r="T566" t="s">
        <v>65</v>
      </c>
      <c r="W566" s="8" t="s">
        <v>1192</v>
      </c>
      <c r="X566" s="8" t="s">
        <v>1191</v>
      </c>
      <c r="Y566" s="8" t="s">
        <v>64</v>
      </c>
      <c r="Z566" t="str">
        <f t="shared" si="8"/>
        <v>TARJETA 9869ADMINISTRACION</v>
      </c>
      <c r="AA566" s="11" t="e">
        <f>MATCH(Tabla9[[#This Row],[AUX]],Loockup_ObrasGerencia[[#All],[aux]],0)</f>
        <v>#N/A</v>
      </c>
    </row>
    <row r="567" spans="1:27" x14ac:dyDescent="0.25">
      <c r="A567" s="30" t="s">
        <v>1173</v>
      </c>
      <c r="B567" s="30" t="s">
        <v>1172</v>
      </c>
      <c r="C567" s="30" t="s">
        <v>64</v>
      </c>
      <c r="D567" s="30" t="str" cm="1">
        <f t="array" ref="D567">UPPER(_xlfn.XLOOKUP(Loockup_ObrasGerencia[[#This Row],[OBRA_PRONTO]],Tabla7[[#All],[Obra]],Tabla7[[#All],[Gerente de obra]],"Sin Obra Asignada",0))</f>
        <v>BDL</v>
      </c>
      <c r="E567" s="31" t="str">
        <f>Loockup_ObrasGerencia[[#This Row],[OBRA_PRONTO]]&amp;Loockup_ObrasGerencia[[#This Row],[GERENCIA]]</f>
        <v>TARJETA 0465BDL</v>
      </c>
      <c r="H567" t="s">
        <v>1197</v>
      </c>
      <c r="I567" t="s">
        <v>1198</v>
      </c>
      <c r="J567" t="s">
        <v>1031</v>
      </c>
      <c r="K567" t="str">
        <f>Tabla7[[#This Row],[Obra]]&amp;Tabla7[[#This Row],[Gerente de obra]]</f>
        <v>VENTA DE ASFABDL</v>
      </c>
      <c r="L567">
        <f>MATCH(Tabla7[[#This Row],[AUX]],Loockup_ObrasGerencia[[#All],[aux]],0)</f>
        <v>579</v>
      </c>
      <c r="O567" t="str">
        <f>UPPER(GERENCIAS[[#This Row],[Gerente de obra]])</f>
        <v>SIN OBRA ASIGNADA</v>
      </c>
      <c r="R567" t="s">
        <v>1208</v>
      </c>
      <c r="S567" t="s">
        <v>1208</v>
      </c>
      <c r="T567" t="s">
        <v>65</v>
      </c>
      <c r="W567" s="8" t="s">
        <v>1193</v>
      </c>
      <c r="X567" s="8" t="s">
        <v>1193</v>
      </c>
      <c r="Y567" s="8" t="s">
        <v>64</v>
      </c>
      <c r="Z567" t="str">
        <f t="shared" si="8"/>
        <v>TIGRE AYSAADMINISTRACION</v>
      </c>
      <c r="AA567" s="11" t="e">
        <f>MATCH(Tabla9[[#This Row],[AUX]],Loockup_ObrasGerencia[[#All],[aux]],0)</f>
        <v>#N/A</v>
      </c>
    </row>
    <row r="568" spans="1:27" x14ac:dyDescent="0.25">
      <c r="A568" s="30" t="s">
        <v>1175</v>
      </c>
      <c r="B568" s="30" t="s">
        <v>1174</v>
      </c>
      <c r="C568" s="30" t="s">
        <v>64</v>
      </c>
      <c r="D568" s="30" t="str" cm="1">
        <f t="array" ref="D568">UPPER(_xlfn.XLOOKUP(Loockup_ObrasGerencia[[#This Row],[OBRA_PRONTO]],Tabla7[[#All],[Obra]],Tabla7[[#All],[Gerente de obra]],"Sin Obra Asignada",0))</f>
        <v>BDL</v>
      </c>
      <c r="E568" s="31" t="str">
        <f>Loockup_ObrasGerencia[[#This Row],[OBRA_PRONTO]]&amp;Loockup_ObrasGerencia[[#This Row],[GERENCIA]]</f>
        <v>TARJETA 1030BDL</v>
      </c>
      <c r="H568" s="5" t="s">
        <v>1199</v>
      </c>
      <c r="I568" t="s">
        <v>1200</v>
      </c>
      <c r="J568" t="s">
        <v>1031</v>
      </c>
      <c r="K568" t="str">
        <f>Tabla7[[#This Row],[Obra]]&amp;Tabla7[[#This Row],[Gerente de obra]]</f>
        <v>VENTA HORMIGOBDL</v>
      </c>
      <c r="L568">
        <f>MATCH(Tabla7[[#This Row],[AUX]],Loockup_ObrasGerencia[[#All],[aux]],0)</f>
        <v>580</v>
      </c>
      <c r="W568" s="8" t="s">
        <v>1194</v>
      </c>
      <c r="X568" s="8" t="s">
        <v>1194</v>
      </c>
      <c r="Y568" s="8" t="s">
        <v>64</v>
      </c>
      <c r="Z568" t="str">
        <f t="shared" si="8"/>
        <v>UDAONDOADMINISTRACION</v>
      </c>
      <c r="AA568" s="11" t="e">
        <f>MATCH(Tabla9[[#This Row],[AUX]],Loockup_ObrasGerencia[[#All],[aux]],0)</f>
        <v>#N/A</v>
      </c>
    </row>
    <row r="569" spans="1:27" x14ac:dyDescent="0.25">
      <c r="A569" s="32" t="s">
        <v>1177</v>
      </c>
      <c r="B569" s="32" t="s">
        <v>1176</v>
      </c>
      <c r="C569" s="32" t="s">
        <v>64</v>
      </c>
      <c r="D569" s="30" t="str" cm="1">
        <f t="array" ref="D569">UPPER(_xlfn.XLOOKUP(Loockup_ObrasGerencia[[#This Row],[OBRA_PRONTO]],Tabla7[[#All],[Obra]],Tabla7[[#All],[Gerente de obra]],"Sin Obra Asignada",0))</f>
        <v>BDL</v>
      </c>
      <c r="E569" s="31" t="str">
        <f>Loockup_ObrasGerencia[[#This Row],[OBRA_PRONTO]]&amp;Loockup_ObrasGerencia[[#This Row],[GERENCIA]]</f>
        <v>TARJETA 2727BDL</v>
      </c>
      <c r="H569" t="s">
        <v>1201</v>
      </c>
      <c r="I569" t="s">
        <v>1202</v>
      </c>
      <c r="J569" t="s">
        <v>1031</v>
      </c>
      <c r="K569" t="str">
        <f>Tabla7[[#This Row],[Obra]]&amp;Tabla7[[#This Row],[Gerente de obra]]</f>
        <v>VOLCADORESBDL</v>
      </c>
      <c r="L569">
        <f>MATCH(Tabla7[[#This Row],[AUX]],Loockup_ObrasGerencia[[#All],[aux]],0)</f>
        <v>581</v>
      </c>
      <c r="W569" t="s">
        <v>1196</v>
      </c>
      <c r="X569" s="8" t="s">
        <v>1195</v>
      </c>
      <c r="Y569" s="8" t="s">
        <v>64</v>
      </c>
      <c r="Z569" t="str">
        <f t="shared" si="8"/>
        <v>UNSAMADMINISTRACION</v>
      </c>
      <c r="AA569" s="11" t="e">
        <f>MATCH(Tabla9[[#This Row],[AUX]],Loockup_ObrasGerencia[[#All],[aux]],0)</f>
        <v>#N/A</v>
      </c>
    </row>
    <row r="570" spans="1:27" x14ac:dyDescent="0.25">
      <c r="A570" s="32" t="s">
        <v>1179</v>
      </c>
      <c r="B570" s="32" t="s">
        <v>1178</v>
      </c>
      <c r="C570" s="32" t="s">
        <v>64</v>
      </c>
      <c r="D570" s="30" t="str" cm="1">
        <f t="array" ref="D570">UPPER(_xlfn.XLOOKUP(Loockup_ObrasGerencia[[#This Row],[OBRA_PRONTO]],Tabla7[[#All],[Obra]],Tabla7[[#All],[Gerente de obra]],"Sin Obra Asignada",0))</f>
        <v>BDL</v>
      </c>
      <c r="E570" s="31" t="str">
        <f>Loockup_ObrasGerencia[[#This Row],[OBRA_PRONTO]]&amp;Loockup_ObrasGerencia[[#This Row],[GERENCIA]]</f>
        <v>TARJETA 2735BDL</v>
      </c>
      <c r="H570" t="s">
        <v>1203</v>
      </c>
      <c r="I570" t="s">
        <v>1204</v>
      </c>
      <c r="J570" t="s">
        <v>1031</v>
      </c>
      <c r="K570" t="str">
        <f>Tabla7[[#This Row],[Obra]]&amp;Tabla7[[#This Row],[Gerente de obra]]</f>
        <v>ZARATEBDL</v>
      </c>
      <c r="L570">
        <f>MATCH(Tabla7[[#This Row],[AUX]],Loockup_ObrasGerencia[[#All],[aux]],0)</f>
        <v>582</v>
      </c>
      <c r="W570" s="8" t="s">
        <v>1198</v>
      </c>
      <c r="X570" s="8" t="s">
        <v>1197</v>
      </c>
      <c r="Y570" s="8" t="s">
        <v>64</v>
      </c>
      <c r="Z570" t="str">
        <f t="shared" si="8"/>
        <v>VENTA DE ASFAADMINISTRACION</v>
      </c>
      <c r="AA570" s="11" t="e">
        <f>MATCH(Tabla9[[#This Row],[AUX]],Loockup_ObrasGerencia[[#All],[aux]],0)</f>
        <v>#N/A</v>
      </c>
    </row>
    <row r="571" spans="1:27" x14ac:dyDescent="0.25">
      <c r="A571" s="32" t="s">
        <v>1184</v>
      </c>
      <c r="B571" s="32" t="s">
        <v>1183</v>
      </c>
      <c r="C571" s="32" t="s">
        <v>64</v>
      </c>
      <c r="D571" s="30" t="str" cm="1">
        <f t="array" ref="D571">UPPER(_xlfn.XLOOKUP(Loockup_ObrasGerencia[[#This Row],[OBRA_PRONTO]],Tabla7[[#All],[Obra]],Tabla7[[#All],[Gerente de obra]],"Sin Obra Asignada",0))</f>
        <v>BDL</v>
      </c>
      <c r="E571" s="31" t="str">
        <f>Loockup_ObrasGerencia[[#This Row],[OBRA_PRONTO]]&amp;Loockup_ObrasGerencia[[#This Row],[GERENCIA]]</f>
        <v>TARJETA 46980BDL</v>
      </c>
      <c r="H571" t="s">
        <v>1118</v>
      </c>
      <c r="I571" t="s">
        <v>1119</v>
      </c>
      <c r="J571" t="s">
        <v>79</v>
      </c>
      <c r="K571" t="str">
        <f>Tabla7[[#This Row],[Obra]]&amp;Tabla7[[#This Row],[Gerente de obra]]</f>
        <v>DAVID-GUSTAVFrancisco Di Lisio</v>
      </c>
      <c r="L571">
        <f>MATCH(Tabla7[[#This Row],[AUX]],Loockup_ObrasGerencia[[#All],[aux]],0)</f>
        <v>517</v>
      </c>
      <c r="W571" s="8" t="s">
        <v>1200</v>
      </c>
      <c r="X571" s="8" t="s">
        <v>1199</v>
      </c>
      <c r="Y571" s="8" t="s">
        <v>64</v>
      </c>
      <c r="Z571" t="str">
        <f t="shared" si="8"/>
        <v>VENTA HORMIGOADMINISTRACION</v>
      </c>
      <c r="AA571" s="11" t="e">
        <f>MATCH(Tabla9[[#This Row],[AUX]],Loockup_ObrasGerencia[[#All],[aux]],0)</f>
        <v>#N/A</v>
      </c>
    </row>
    <row r="572" spans="1:27" x14ac:dyDescent="0.25">
      <c r="A572" s="32" t="s">
        <v>1186</v>
      </c>
      <c r="B572" s="32" t="s">
        <v>1185</v>
      </c>
      <c r="C572" s="32" t="s">
        <v>64</v>
      </c>
      <c r="D572" s="30" t="str" cm="1">
        <f t="array" ref="D572">UPPER(_xlfn.XLOOKUP(Loockup_ObrasGerencia[[#This Row],[OBRA_PRONTO]],Tabla7[[#All],[Obra]],Tabla7[[#All],[Gerente de obra]],"Sin Obra Asignada",0))</f>
        <v>BDL</v>
      </c>
      <c r="E572" s="31" t="str">
        <f>Loockup_ObrasGerencia[[#This Row],[OBRA_PRONTO]]&amp;Loockup_ObrasGerencia[[#This Row],[GERENCIA]]</f>
        <v>TARJETA 6651BDL</v>
      </c>
      <c r="H572" t="s">
        <v>650</v>
      </c>
      <c r="I572" t="s">
        <v>650</v>
      </c>
      <c r="J572" t="s">
        <v>79</v>
      </c>
      <c r="K572" t="str">
        <f>Tabla7[[#This Row],[Obra]]&amp;Tabla7[[#This Row],[Gerente de obra]]</f>
        <v>SEDEFrancisco Di Lisio</v>
      </c>
      <c r="L572" t="e">
        <f>MATCH(Tabla7[[#This Row],[AUX]],Loockup_ObrasGerencia[[#All],[aux]],0)</f>
        <v>#N/A</v>
      </c>
      <c r="W572" s="8" t="s">
        <v>1202</v>
      </c>
      <c r="X572" s="8" t="s">
        <v>1201</v>
      </c>
      <c r="Y572" s="8" t="s">
        <v>64</v>
      </c>
      <c r="Z572" t="str">
        <f t="shared" si="8"/>
        <v>VOLCADORESADMINISTRACION</v>
      </c>
      <c r="AA572" s="11" t="e">
        <f>MATCH(Tabla9[[#This Row],[AUX]],Loockup_ObrasGerencia[[#All],[aux]],0)</f>
        <v>#N/A</v>
      </c>
    </row>
    <row r="573" spans="1:27" x14ac:dyDescent="0.25">
      <c r="A573" s="30" t="s">
        <v>1188</v>
      </c>
      <c r="B573" s="30" t="s">
        <v>1187</v>
      </c>
      <c r="C573" s="30" t="s">
        <v>64</v>
      </c>
      <c r="D573" s="30" t="str" cm="1">
        <f t="array" ref="D573">UPPER(_xlfn.XLOOKUP(Loockup_ObrasGerencia[[#This Row],[OBRA_PRONTO]],Tabla7[[#All],[Obra]],Tabla7[[#All],[Gerente de obra]],"Sin Obra Asignada",0))</f>
        <v>BDL</v>
      </c>
      <c r="E573" s="31" t="str">
        <f>Loockup_ObrasGerencia[[#This Row],[OBRA_PRONTO]]&amp;Loockup_ObrasGerencia[[#This Row],[GERENCIA]]</f>
        <v>TARJETA 6823BDL</v>
      </c>
      <c r="H573" t="s">
        <v>1181</v>
      </c>
      <c r="I573" t="s">
        <v>1182</v>
      </c>
      <c r="J573" t="s">
        <v>29</v>
      </c>
      <c r="K573" t="str">
        <f>Tabla7[[#This Row],[Obra]]&amp;Tabla7[[#This Row],[Gerente de obra]]</f>
        <v>TALLER REPARADiego Ibañez</v>
      </c>
      <c r="L573">
        <f>MATCH(Tabla7[[#This Row],[AUX]],Loockup_ObrasGerencia[[#All],[aux]],0)</f>
        <v>566</v>
      </c>
      <c r="W573" s="8" t="s">
        <v>1204</v>
      </c>
      <c r="X573" s="8" t="s">
        <v>1203</v>
      </c>
      <c r="Y573" s="8" t="s">
        <v>64</v>
      </c>
      <c r="Z573" t="str">
        <f t="shared" si="8"/>
        <v>ZARATEADMINISTRACION</v>
      </c>
      <c r="AA573" s="11" t="e">
        <f>MATCH(Tabla9[[#This Row],[AUX]],Loockup_ObrasGerencia[[#All],[aux]],0)</f>
        <v>#N/A</v>
      </c>
    </row>
    <row r="574" spans="1:27" x14ac:dyDescent="0.25">
      <c r="A574" s="30" t="s">
        <v>1190</v>
      </c>
      <c r="B574" s="30" t="s">
        <v>1189</v>
      </c>
      <c r="C574" s="30" t="s">
        <v>64</v>
      </c>
      <c r="D574" s="30" t="str" cm="1">
        <f t="array" ref="D574">UPPER(_xlfn.XLOOKUP(Loockup_ObrasGerencia[[#This Row],[OBRA_PRONTO]],Tabla7[[#All],[Obra]],Tabla7[[#All],[Gerente de obra]],"Sin Obra Asignada",0))</f>
        <v>BDL</v>
      </c>
      <c r="E574" s="31" t="str">
        <f>Loockup_ObrasGerencia[[#This Row],[OBRA_PRONTO]]&amp;Loockup_ObrasGerencia[[#This Row],[GERENCIA]]</f>
        <v>TARJETA 9660BDL</v>
      </c>
      <c r="W574" s="8" t="s">
        <v>991</v>
      </c>
      <c r="X574" s="8" t="s">
        <v>990</v>
      </c>
      <c r="Y574" s="8" t="s">
        <v>634</v>
      </c>
      <c r="Z574" t="str">
        <f t="shared" si="8"/>
        <v>00000471COMPENSABLE GASTOS DE SEDE</v>
      </c>
      <c r="AA574" s="11" t="e">
        <f>MATCH(Tabla9[[#This Row],[AUX]],Loockup_ObrasGerencia[[#All],[aux]],0)</f>
        <v>#N/A</v>
      </c>
    </row>
    <row r="575" spans="1:27" x14ac:dyDescent="0.25">
      <c r="A575" s="30" t="s">
        <v>1192</v>
      </c>
      <c r="B575" s="30" t="s">
        <v>1191</v>
      </c>
      <c r="C575" s="30" t="s">
        <v>64</v>
      </c>
      <c r="D575" s="30" t="str" cm="1">
        <f t="array" ref="D575">UPPER(_xlfn.XLOOKUP(Loockup_ObrasGerencia[[#This Row],[OBRA_PRONTO]],Tabla7[[#All],[Obra]],Tabla7[[#All],[Gerente de obra]],"Sin Obra Asignada",0))</f>
        <v>BDL</v>
      </c>
      <c r="E575" s="31" t="str">
        <f>Loockup_ObrasGerencia[[#This Row],[OBRA_PRONTO]]&amp;Loockup_ObrasGerencia[[#This Row],[GERENCIA]]</f>
        <v>TARJETA 9869BDL</v>
      </c>
    </row>
    <row r="576" spans="1:27" x14ac:dyDescent="0.25">
      <c r="A576" s="30" t="s">
        <v>1193</v>
      </c>
      <c r="B576" s="30" t="s">
        <v>1193</v>
      </c>
      <c r="C576" s="30" t="s">
        <v>64</v>
      </c>
      <c r="D576" s="30" t="str" cm="1">
        <f t="array" ref="D576">UPPER(_xlfn.XLOOKUP(Loockup_ObrasGerencia[[#This Row],[OBRA_PRONTO]],Tabla7[[#All],[Obra]],Tabla7[[#All],[Gerente de obra]],"Sin Obra Asignada",0))</f>
        <v>BDL</v>
      </c>
      <c r="E576" s="31" t="str">
        <f>Loockup_ObrasGerencia[[#This Row],[OBRA_PRONTO]]&amp;Loockup_ObrasGerencia[[#This Row],[GERENCIA]]</f>
        <v>TIGRE AYSABDL</v>
      </c>
    </row>
    <row r="577" spans="1:5" x14ac:dyDescent="0.25">
      <c r="A577" s="30" t="s">
        <v>1194</v>
      </c>
      <c r="B577" s="30" t="s">
        <v>1194</v>
      </c>
      <c r="C577" s="30" t="s">
        <v>64</v>
      </c>
      <c r="D577" s="30" t="str" cm="1">
        <f t="array" ref="D577">UPPER(_xlfn.XLOOKUP(Loockup_ObrasGerencia[[#This Row],[OBRA_PRONTO]],Tabla7[[#All],[Obra]],Tabla7[[#All],[Gerente de obra]],"Sin Obra Asignada",0))</f>
        <v>BDL</v>
      </c>
      <c r="E577" s="31" t="str">
        <f>Loockup_ObrasGerencia[[#This Row],[OBRA_PRONTO]]&amp;Loockup_ObrasGerencia[[#This Row],[GERENCIA]]</f>
        <v>UDAONDOBDL</v>
      </c>
    </row>
    <row r="578" spans="1:5" x14ac:dyDescent="0.25">
      <c r="A578" s="30" t="s">
        <v>1196</v>
      </c>
      <c r="B578" s="30" t="s">
        <v>1195</v>
      </c>
      <c r="C578" s="30" t="s">
        <v>64</v>
      </c>
      <c r="D578" s="30" t="str" cm="1">
        <f t="array" ref="D578">UPPER(_xlfn.XLOOKUP(Loockup_ObrasGerencia[[#This Row],[OBRA_PRONTO]],Tabla7[[#All],[Obra]],Tabla7[[#All],[Gerente de obra]],"Sin Obra Asignada",0))</f>
        <v>BDL</v>
      </c>
      <c r="E578" s="31" t="str">
        <f>Loockup_ObrasGerencia[[#This Row],[OBRA_PRONTO]]&amp;Loockup_ObrasGerencia[[#This Row],[GERENCIA]]</f>
        <v>UNSAMBDL</v>
      </c>
    </row>
    <row r="579" spans="1:5" x14ac:dyDescent="0.25">
      <c r="A579" s="30" t="s">
        <v>1198</v>
      </c>
      <c r="B579" s="30" t="s">
        <v>1197</v>
      </c>
      <c r="C579" s="30" t="s">
        <v>64</v>
      </c>
      <c r="D579" s="30" t="str" cm="1">
        <f t="array" ref="D579">UPPER(_xlfn.XLOOKUP(Loockup_ObrasGerencia[[#This Row],[OBRA_PRONTO]],Tabla7[[#All],[Obra]],Tabla7[[#All],[Gerente de obra]],"Sin Obra Asignada",0))</f>
        <v>BDL</v>
      </c>
      <c r="E579" s="31" t="str">
        <f>Loockup_ObrasGerencia[[#This Row],[OBRA_PRONTO]]&amp;Loockup_ObrasGerencia[[#This Row],[GERENCIA]]</f>
        <v>VENTA DE ASFABDL</v>
      </c>
    </row>
    <row r="580" spans="1:5" x14ac:dyDescent="0.25">
      <c r="A580" s="30" t="s">
        <v>1200</v>
      </c>
      <c r="B580" s="30" t="s">
        <v>1199</v>
      </c>
      <c r="C580" s="30" t="s">
        <v>64</v>
      </c>
      <c r="D580" s="30" t="str" cm="1">
        <f t="array" ref="D580">UPPER(_xlfn.XLOOKUP(Loockup_ObrasGerencia[[#This Row],[OBRA_PRONTO]],Tabla7[[#All],[Obra]],Tabla7[[#All],[Gerente de obra]],"Sin Obra Asignada",0))</f>
        <v>BDL</v>
      </c>
      <c r="E580" s="31" t="str">
        <f>Loockup_ObrasGerencia[[#This Row],[OBRA_PRONTO]]&amp;Loockup_ObrasGerencia[[#This Row],[GERENCIA]]</f>
        <v>VENTA HORMIGOBDL</v>
      </c>
    </row>
    <row r="581" spans="1:5" x14ac:dyDescent="0.25">
      <c r="A581" s="30" t="s">
        <v>1202</v>
      </c>
      <c r="B581" s="30" t="s">
        <v>1201</v>
      </c>
      <c r="C581" s="30" t="s">
        <v>64</v>
      </c>
      <c r="D581" s="30" t="str" cm="1">
        <f t="array" ref="D581">UPPER(_xlfn.XLOOKUP(Loockup_ObrasGerencia[[#This Row],[OBRA_PRONTO]],Tabla7[[#All],[Obra]],Tabla7[[#All],[Gerente de obra]],"Sin Obra Asignada",0))</f>
        <v>BDL</v>
      </c>
      <c r="E581" s="31" t="str">
        <f>Loockup_ObrasGerencia[[#This Row],[OBRA_PRONTO]]&amp;Loockup_ObrasGerencia[[#This Row],[GERENCIA]]</f>
        <v>VOLCADORESBDL</v>
      </c>
    </row>
    <row r="582" spans="1:5" x14ac:dyDescent="0.25">
      <c r="A582" s="32" t="s">
        <v>1204</v>
      </c>
      <c r="B582" s="32" t="s">
        <v>1203</v>
      </c>
      <c r="C582" s="32" t="s">
        <v>64</v>
      </c>
      <c r="D582" s="32" t="str" cm="1">
        <f t="array" ref="D582">UPPER(_xlfn.XLOOKUP(Loockup_ObrasGerencia[[#This Row],[OBRA_PRONTO]],Tabla7[[#All],[Obra]],Tabla7[[#All],[Gerente de obra]],"Sin Obra Asignada",0))</f>
        <v>BDL</v>
      </c>
      <c r="E582" s="31" t="str">
        <f>Loockup_ObrasGerencia[[#This Row],[OBRA_PRONTO]]&amp;Loockup_ObrasGerencia[[#This Row],[GERENCIA]]</f>
        <v>ZARATEBDL</v>
      </c>
    </row>
    <row r="587" spans="1:5" x14ac:dyDescent="0.25">
      <c r="A587" s="28" t="s">
        <v>1210</v>
      </c>
    </row>
    <row r="588" spans="1:5" x14ac:dyDescent="0.25">
      <c r="A588" s="27" t="s">
        <v>669</v>
      </c>
      <c r="B588" s="27" t="s">
        <v>669</v>
      </c>
      <c r="C588" s="27" t="s">
        <v>17</v>
      </c>
      <c r="D588" s="27" t="s">
        <v>78</v>
      </c>
      <c r="E588" s="27">
        <v>580</v>
      </c>
    </row>
    <row r="589" spans="1:5" x14ac:dyDescent="0.25">
      <c r="A589" s="27" t="s">
        <v>711</v>
      </c>
      <c r="B589" s="27" t="s">
        <v>711</v>
      </c>
      <c r="C589" s="27" t="s">
        <v>64</v>
      </c>
      <c r="D589" s="27" t="s">
        <v>78</v>
      </c>
      <c r="E589" s="27">
        <v>581</v>
      </c>
    </row>
    <row r="590" spans="1:5" x14ac:dyDescent="0.25">
      <c r="A590" s="27" t="s">
        <v>1207</v>
      </c>
      <c r="B590" s="27" t="s">
        <v>1207</v>
      </c>
      <c r="C590" s="27" t="s">
        <v>17</v>
      </c>
      <c r="D590" s="27" t="s">
        <v>65</v>
      </c>
      <c r="E590" s="27">
        <v>582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zoomScale="80" zoomScaleNormal="80" workbookViewId="0">
      <selection activeCell="G21" sqref="G21"/>
    </sheetView>
  </sheetViews>
  <sheetFormatPr baseColWidth="10" defaultRowHeight="15" x14ac:dyDescent="0.25"/>
  <cols>
    <col min="1" max="1" width="56.7109375" bestFit="1" customWidth="1"/>
    <col min="2" max="2" width="14.28515625" bestFit="1" customWidth="1"/>
    <col min="3" max="3" width="18.7109375" bestFit="1" customWidth="1"/>
    <col min="4" max="4" width="23.7109375" bestFit="1" customWidth="1"/>
  </cols>
  <sheetData>
    <row r="1" spans="1:4" ht="15.75" customHeight="1" thickBot="1" x14ac:dyDescent="0.3">
      <c r="A1" s="24" t="s">
        <v>0</v>
      </c>
      <c r="B1" s="25" t="s">
        <v>1</v>
      </c>
      <c r="C1" s="25" t="s">
        <v>2</v>
      </c>
      <c r="D1" s="26" t="s">
        <v>3</v>
      </c>
    </row>
    <row r="2" spans="1:4" x14ac:dyDescent="0.25">
      <c r="A2" s="13" t="s">
        <v>682</v>
      </c>
      <c r="B2" s="14" t="s">
        <v>1140</v>
      </c>
      <c r="C2" s="14" t="s">
        <v>17</v>
      </c>
      <c r="D2" s="15" t="s">
        <v>53</v>
      </c>
    </row>
    <row r="3" spans="1:4" ht="15.75" customHeight="1" thickBot="1" x14ac:dyDescent="0.3">
      <c r="A3" s="16" t="s">
        <v>682</v>
      </c>
      <c r="B3" s="17" t="s">
        <v>683</v>
      </c>
      <c r="C3" s="17" t="s">
        <v>64</v>
      </c>
      <c r="D3" s="18" t="s">
        <v>65</v>
      </c>
    </row>
    <row r="4" spans="1:4" x14ac:dyDescent="0.25">
      <c r="A4" s="19" t="s">
        <v>824</v>
      </c>
      <c r="B4" s="20" t="s">
        <v>1166</v>
      </c>
      <c r="C4" s="20" t="s">
        <v>17</v>
      </c>
      <c r="D4" s="21" t="s">
        <v>19</v>
      </c>
    </row>
    <row r="5" spans="1:4" ht="15.75" customHeight="1" thickBot="1" x14ac:dyDescent="0.3">
      <c r="A5" s="16" t="s">
        <v>824</v>
      </c>
      <c r="B5" s="17" t="s">
        <v>825</v>
      </c>
      <c r="C5" s="17" t="s">
        <v>17</v>
      </c>
      <c r="D5" s="18" t="s">
        <v>65</v>
      </c>
    </row>
    <row r="6" spans="1:4" x14ac:dyDescent="0.25">
      <c r="A6" s="13" t="s">
        <v>891</v>
      </c>
      <c r="B6" s="14" t="s">
        <v>890</v>
      </c>
      <c r="C6" s="14" t="s">
        <v>952</v>
      </c>
      <c r="D6" s="22" t="s">
        <v>35</v>
      </c>
    </row>
    <row r="7" spans="1:4" ht="15.75" customHeight="1" thickBot="1" x14ac:dyDescent="0.3">
      <c r="A7" s="16" t="s">
        <v>891</v>
      </c>
      <c r="B7" s="17" t="s">
        <v>922</v>
      </c>
      <c r="C7" s="17" t="s">
        <v>64</v>
      </c>
      <c r="D7" s="23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8"/>
  <sheetViews>
    <sheetView topLeftCell="A25" zoomScale="80" zoomScaleNormal="80" workbookViewId="0">
      <selection activeCell="F38" sqref="F38"/>
    </sheetView>
  </sheetViews>
  <sheetFormatPr baseColWidth="10" defaultRowHeight="15" x14ac:dyDescent="0.25"/>
  <cols>
    <col min="1" max="1" width="28.28515625" bestFit="1" customWidth="1"/>
    <col min="2" max="2" width="33" bestFit="1" customWidth="1"/>
  </cols>
  <sheetData>
    <row r="1" spans="1:2" x14ac:dyDescent="0.25">
      <c r="A1" t="s">
        <v>1336</v>
      </c>
      <c r="B1" t="s">
        <v>1337</v>
      </c>
    </row>
    <row r="2" spans="1:2" x14ac:dyDescent="0.25">
      <c r="A2" t="s">
        <v>1338</v>
      </c>
      <c r="B2" t="s">
        <v>1338</v>
      </c>
    </row>
    <row r="3" spans="1:2" x14ac:dyDescent="0.25">
      <c r="A3" t="s">
        <v>1339</v>
      </c>
      <c r="B3" t="s">
        <v>1339</v>
      </c>
    </row>
    <row r="4" spans="1:2" x14ac:dyDescent="0.25">
      <c r="A4" t="s">
        <v>1340</v>
      </c>
      <c r="B4" t="s">
        <v>1340</v>
      </c>
    </row>
    <row r="5" spans="1:2" x14ac:dyDescent="0.25">
      <c r="A5" t="s">
        <v>1341</v>
      </c>
      <c r="B5" t="s">
        <v>1341</v>
      </c>
    </row>
    <row r="6" spans="1:2" x14ac:dyDescent="0.25">
      <c r="A6" t="s">
        <v>1342</v>
      </c>
      <c r="B6" t="s">
        <v>1342</v>
      </c>
    </row>
    <row r="7" spans="1:2" x14ac:dyDescent="0.25">
      <c r="A7" t="s">
        <v>1343</v>
      </c>
      <c r="B7" t="s">
        <v>1343</v>
      </c>
    </row>
    <row r="8" spans="1:2" x14ac:dyDescent="0.25">
      <c r="A8" t="s">
        <v>1344</v>
      </c>
      <c r="B8" t="s">
        <v>1344</v>
      </c>
    </row>
    <row r="9" spans="1:2" x14ac:dyDescent="0.25">
      <c r="A9" t="s">
        <v>1345</v>
      </c>
      <c r="B9" t="s">
        <v>1345</v>
      </c>
    </row>
    <row r="10" spans="1:2" x14ac:dyDescent="0.25">
      <c r="A10" t="s">
        <v>1346</v>
      </c>
      <c r="B10" t="s">
        <v>1346</v>
      </c>
    </row>
    <row r="11" spans="1:2" x14ac:dyDescent="0.25">
      <c r="A11" t="s">
        <v>1347</v>
      </c>
      <c r="B11" t="s">
        <v>1347</v>
      </c>
    </row>
    <row r="12" spans="1:2" x14ac:dyDescent="0.25">
      <c r="A12" t="s">
        <v>284</v>
      </c>
      <c r="B12" t="s">
        <v>284</v>
      </c>
    </row>
    <row r="13" spans="1:2" x14ac:dyDescent="0.25">
      <c r="A13" t="s">
        <v>1348</v>
      </c>
      <c r="B13" t="s">
        <v>1348</v>
      </c>
    </row>
    <row r="14" spans="1:2" x14ac:dyDescent="0.25">
      <c r="A14" t="s">
        <v>481</v>
      </c>
      <c r="B14" t="s">
        <v>481</v>
      </c>
    </row>
    <row r="15" spans="1:2" x14ac:dyDescent="0.25">
      <c r="A15" t="s">
        <v>1349</v>
      </c>
      <c r="B15" t="s">
        <v>1349</v>
      </c>
    </row>
    <row r="16" spans="1:2" x14ac:dyDescent="0.25">
      <c r="A16" t="s">
        <v>1350</v>
      </c>
      <c r="B16" t="s">
        <v>1350</v>
      </c>
    </row>
    <row r="17" spans="1:2" x14ac:dyDescent="0.25">
      <c r="A17" t="s">
        <v>1351</v>
      </c>
      <c r="B17" t="s">
        <v>1351</v>
      </c>
    </row>
    <row r="18" spans="1:2" x14ac:dyDescent="0.25">
      <c r="A18" t="s">
        <v>1352</v>
      </c>
      <c r="B18" t="s">
        <v>1352</v>
      </c>
    </row>
    <row r="19" spans="1:2" x14ac:dyDescent="0.25">
      <c r="A19" t="s">
        <v>1353</v>
      </c>
      <c r="B19" t="s">
        <v>1354</v>
      </c>
    </row>
    <row r="20" spans="1:2" x14ac:dyDescent="0.25">
      <c r="A20" t="s">
        <v>1355</v>
      </c>
      <c r="B20" t="s">
        <v>1355</v>
      </c>
    </row>
    <row r="21" spans="1:2" x14ac:dyDescent="0.25">
      <c r="A21" t="s">
        <v>1356</v>
      </c>
      <c r="B21" t="s">
        <v>1355</v>
      </c>
    </row>
    <row r="22" spans="1:2" x14ac:dyDescent="0.25">
      <c r="A22" t="s">
        <v>1357</v>
      </c>
      <c r="B22" t="s">
        <v>1357</v>
      </c>
    </row>
    <row r="23" spans="1:2" x14ac:dyDescent="0.25">
      <c r="A23" t="s">
        <v>1358</v>
      </c>
      <c r="B23" t="s">
        <v>1358</v>
      </c>
    </row>
    <row r="24" spans="1:2" x14ac:dyDescent="0.25">
      <c r="A24" t="s">
        <v>1359</v>
      </c>
      <c r="B24" t="s">
        <v>1359</v>
      </c>
    </row>
    <row r="25" spans="1:2" x14ac:dyDescent="0.25">
      <c r="A25" t="s">
        <v>1360</v>
      </c>
      <c r="B25" t="s">
        <v>1360</v>
      </c>
    </row>
    <row r="26" spans="1:2" x14ac:dyDescent="0.25">
      <c r="A26" t="s">
        <v>1361</v>
      </c>
      <c r="B26" t="s">
        <v>1361</v>
      </c>
    </row>
    <row r="27" spans="1:2" x14ac:dyDescent="0.25">
      <c r="A27" t="s">
        <v>1362</v>
      </c>
      <c r="B27" t="s">
        <v>1361</v>
      </c>
    </row>
    <row r="28" spans="1:2" x14ac:dyDescent="0.25">
      <c r="A28" t="s">
        <v>1363</v>
      </c>
      <c r="B28" t="s">
        <v>1363</v>
      </c>
    </row>
    <row r="29" spans="1:2" x14ac:dyDescent="0.25">
      <c r="A29" t="s">
        <v>1364</v>
      </c>
      <c r="B29" t="s">
        <v>1364</v>
      </c>
    </row>
    <row r="30" spans="1:2" x14ac:dyDescent="0.25">
      <c r="A30" t="s">
        <v>483</v>
      </c>
      <c r="B30" t="s">
        <v>483</v>
      </c>
    </row>
    <row r="31" spans="1:2" x14ac:dyDescent="0.25">
      <c r="A31" t="s">
        <v>1365</v>
      </c>
      <c r="B31" t="s">
        <v>1365</v>
      </c>
    </row>
    <row r="32" spans="1:2" x14ac:dyDescent="0.25">
      <c r="A32" t="s">
        <v>1366</v>
      </c>
      <c r="B32" t="s">
        <v>1365</v>
      </c>
    </row>
    <row r="33" spans="1:2" x14ac:dyDescent="0.25">
      <c r="A33" t="s">
        <v>1367</v>
      </c>
      <c r="B33" t="s">
        <v>1365</v>
      </c>
    </row>
    <row r="34" spans="1:2" x14ac:dyDescent="0.25">
      <c r="A34" t="s">
        <v>1368</v>
      </c>
      <c r="B34" t="s">
        <v>1368</v>
      </c>
    </row>
    <row r="35" spans="1:2" x14ac:dyDescent="0.25">
      <c r="A35" t="s">
        <v>1369</v>
      </c>
      <c r="B35" t="s">
        <v>1370</v>
      </c>
    </row>
    <row r="36" spans="1:2" x14ac:dyDescent="0.25">
      <c r="A36" t="s">
        <v>1370</v>
      </c>
      <c r="B36" t="s">
        <v>1370</v>
      </c>
    </row>
    <row r="37" spans="1:2" x14ac:dyDescent="0.25">
      <c r="A37" t="s">
        <v>1371</v>
      </c>
      <c r="B37" t="s">
        <v>1371</v>
      </c>
    </row>
    <row r="38" spans="1:2" x14ac:dyDescent="0.25">
      <c r="A38" t="s">
        <v>1372</v>
      </c>
      <c r="B38" t="s">
        <v>1372</v>
      </c>
    </row>
    <row r="39" spans="1:2" x14ac:dyDescent="0.25">
      <c r="A39" t="s">
        <v>1373</v>
      </c>
      <c r="B39" t="s">
        <v>1373</v>
      </c>
    </row>
    <row r="40" spans="1:2" x14ac:dyDescent="0.25">
      <c r="A40" t="s">
        <v>1374</v>
      </c>
      <c r="B40" t="s">
        <v>1374</v>
      </c>
    </row>
    <row r="41" spans="1:2" x14ac:dyDescent="0.25">
      <c r="A41" t="s">
        <v>1375</v>
      </c>
      <c r="B41" t="s">
        <v>1375</v>
      </c>
    </row>
    <row r="42" spans="1:2" x14ac:dyDescent="0.25">
      <c r="A42" t="s">
        <v>1376</v>
      </c>
      <c r="B42" t="s">
        <v>1376</v>
      </c>
    </row>
    <row r="43" spans="1:2" x14ac:dyDescent="0.25">
      <c r="A43" t="s">
        <v>1377</v>
      </c>
      <c r="B43" t="s">
        <v>1378</v>
      </c>
    </row>
    <row r="44" spans="1:2" x14ac:dyDescent="0.25">
      <c r="A44" t="s">
        <v>1379</v>
      </c>
      <c r="B44" t="s">
        <v>1379</v>
      </c>
    </row>
    <row r="45" spans="1:2" x14ac:dyDescent="0.25">
      <c r="A45" t="s">
        <v>1380</v>
      </c>
      <c r="B45" t="s">
        <v>1381</v>
      </c>
    </row>
    <row r="46" spans="1:2" x14ac:dyDescent="0.25">
      <c r="A46" t="s">
        <v>1382</v>
      </c>
      <c r="B46" t="s">
        <v>1383</v>
      </c>
    </row>
    <row r="47" spans="1:2" x14ac:dyDescent="0.25">
      <c r="A47" t="s">
        <v>1384</v>
      </c>
      <c r="B47" t="s">
        <v>1384</v>
      </c>
    </row>
    <row r="48" spans="1:2" x14ac:dyDescent="0.25">
      <c r="A48" t="s">
        <v>1385</v>
      </c>
      <c r="B48" t="s">
        <v>1386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89"/>
  <sheetViews>
    <sheetView topLeftCell="A1663" workbookViewId="0">
      <selection activeCell="A1689" sqref="A1689"/>
    </sheetView>
  </sheetViews>
  <sheetFormatPr baseColWidth="10" defaultRowHeight="15" x14ac:dyDescent="0.25"/>
  <sheetData>
    <row r="1" spans="1:3" x14ac:dyDescent="0.25">
      <c r="A1" t="s">
        <v>1387</v>
      </c>
      <c r="B1" t="s">
        <v>1388</v>
      </c>
      <c r="C1" t="s">
        <v>1389</v>
      </c>
    </row>
    <row r="2" spans="1:3" x14ac:dyDescent="0.25">
      <c r="A2" s="3">
        <v>43637</v>
      </c>
      <c r="B2" s="4">
        <v>41.8</v>
      </c>
      <c r="C2" s="4">
        <v>43.8</v>
      </c>
    </row>
    <row r="3" spans="1:3" x14ac:dyDescent="0.25">
      <c r="A3" s="3">
        <v>43648</v>
      </c>
      <c r="B3" s="4">
        <v>41.2</v>
      </c>
      <c r="C3" s="4">
        <v>43.2</v>
      </c>
    </row>
    <row r="4" spans="1:3" x14ac:dyDescent="0.25">
      <c r="A4" s="3">
        <v>43851</v>
      </c>
      <c r="B4" s="4">
        <v>58</v>
      </c>
      <c r="C4" s="4">
        <v>63</v>
      </c>
    </row>
    <row r="5" spans="1:3" x14ac:dyDescent="0.25">
      <c r="A5" s="3">
        <v>43873</v>
      </c>
      <c r="B5" s="4">
        <v>58.25</v>
      </c>
      <c r="C5" s="4">
        <v>63.25</v>
      </c>
    </row>
    <row r="6" spans="1:3" x14ac:dyDescent="0.25">
      <c r="A6" s="3">
        <v>43875</v>
      </c>
      <c r="B6" s="4">
        <v>58.25</v>
      </c>
      <c r="C6" s="4">
        <v>63.25</v>
      </c>
    </row>
    <row r="7" spans="1:3" x14ac:dyDescent="0.25">
      <c r="A7" s="3">
        <v>44085</v>
      </c>
      <c r="B7" s="4">
        <v>74</v>
      </c>
      <c r="C7" s="4">
        <v>79</v>
      </c>
    </row>
    <row r="8" spans="1:3" x14ac:dyDescent="0.25">
      <c r="A8" s="3">
        <v>44109</v>
      </c>
      <c r="B8" s="4">
        <v>76.75</v>
      </c>
      <c r="C8" s="4">
        <v>81.75</v>
      </c>
    </row>
    <row r="9" spans="1:3" x14ac:dyDescent="0.25">
      <c r="A9" s="3">
        <v>44119</v>
      </c>
      <c r="B9" s="4">
        <v>76.5</v>
      </c>
      <c r="C9" s="4">
        <v>82.5</v>
      </c>
    </row>
    <row r="10" spans="1:3" x14ac:dyDescent="0.25">
      <c r="A10" s="3">
        <v>44130</v>
      </c>
      <c r="B10" s="4">
        <v>77.5</v>
      </c>
      <c r="C10" s="4">
        <v>83.5</v>
      </c>
    </row>
    <row r="11" spans="1:3" x14ac:dyDescent="0.25">
      <c r="A11" s="3">
        <v>44139</v>
      </c>
      <c r="B11" s="4">
        <v>78.25</v>
      </c>
      <c r="C11" s="4">
        <v>84.25</v>
      </c>
    </row>
    <row r="12" spans="1:3" x14ac:dyDescent="0.25">
      <c r="A12" s="3">
        <v>44144</v>
      </c>
      <c r="B12" s="4">
        <v>78.5</v>
      </c>
      <c r="C12" s="4">
        <v>84.5</v>
      </c>
    </row>
    <row r="13" spans="1:3" x14ac:dyDescent="0.25">
      <c r="A13" s="3">
        <v>44151</v>
      </c>
      <c r="B13" s="4">
        <v>79.25</v>
      </c>
      <c r="C13" s="4">
        <v>85.25</v>
      </c>
    </row>
    <row r="14" spans="1:3" x14ac:dyDescent="0.25">
      <c r="A14" s="3">
        <v>44155</v>
      </c>
      <c r="B14" s="4">
        <v>79.5</v>
      </c>
      <c r="C14" s="4">
        <v>85.5</v>
      </c>
    </row>
    <row r="15" spans="1:3" x14ac:dyDescent="0.25">
      <c r="A15" s="3">
        <v>44168</v>
      </c>
      <c r="B15" s="4">
        <v>80.75</v>
      </c>
      <c r="C15" s="4">
        <v>86.75</v>
      </c>
    </row>
    <row r="16" spans="1:3" x14ac:dyDescent="0.25">
      <c r="A16" s="3">
        <v>44174</v>
      </c>
      <c r="B16" s="4">
        <v>81.25</v>
      </c>
      <c r="C16" s="4">
        <v>87.25</v>
      </c>
    </row>
    <row r="17" spans="1:3" x14ac:dyDescent="0.25">
      <c r="A17" s="3">
        <v>44176</v>
      </c>
      <c r="B17" s="4">
        <v>81.5</v>
      </c>
      <c r="C17" s="4">
        <v>87.5</v>
      </c>
    </row>
    <row r="18" spans="1:3" x14ac:dyDescent="0.25">
      <c r="A18" s="3">
        <v>44183</v>
      </c>
      <c r="B18" s="4">
        <v>82</v>
      </c>
      <c r="C18" s="4">
        <v>88</v>
      </c>
    </row>
    <row r="19" spans="1:3" x14ac:dyDescent="0.25">
      <c r="A19" s="3">
        <v>44186</v>
      </c>
      <c r="B19" s="4">
        <v>82.25</v>
      </c>
      <c r="C19" s="4">
        <v>88.25</v>
      </c>
    </row>
    <row r="20" spans="1:3" x14ac:dyDescent="0.25">
      <c r="A20" s="3">
        <v>44200</v>
      </c>
      <c r="B20" s="4">
        <v>84.22</v>
      </c>
      <c r="C20" s="4">
        <v>90.22</v>
      </c>
    </row>
    <row r="21" spans="1:3" x14ac:dyDescent="0.25">
      <c r="A21" s="3">
        <v>44201</v>
      </c>
      <c r="B21" s="4">
        <v>84.55</v>
      </c>
      <c r="C21" s="4">
        <v>90.55</v>
      </c>
    </row>
    <row r="22" spans="1:3" x14ac:dyDescent="0.25">
      <c r="A22" s="3">
        <v>44202</v>
      </c>
      <c r="B22" s="4">
        <v>84.55</v>
      </c>
      <c r="C22" s="4">
        <v>90.55</v>
      </c>
    </row>
    <row r="23" spans="1:3" x14ac:dyDescent="0.25">
      <c r="A23" s="3">
        <v>44203</v>
      </c>
      <c r="B23" s="4">
        <v>84.68</v>
      </c>
      <c r="C23" s="4">
        <v>90.68</v>
      </c>
    </row>
    <row r="24" spans="1:3" x14ac:dyDescent="0.25">
      <c r="A24" s="3">
        <v>44204</v>
      </c>
      <c r="B24" s="4">
        <v>84.79</v>
      </c>
      <c r="C24" s="4">
        <v>90.79</v>
      </c>
    </row>
    <row r="25" spans="1:3" x14ac:dyDescent="0.25">
      <c r="A25" s="3">
        <v>44207</v>
      </c>
      <c r="B25" s="4">
        <v>84.99</v>
      </c>
      <c r="C25" s="4">
        <v>90.99</v>
      </c>
    </row>
    <row r="26" spans="1:3" x14ac:dyDescent="0.25">
      <c r="A26" s="3">
        <v>44208</v>
      </c>
      <c r="B26" s="4">
        <v>85.07</v>
      </c>
      <c r="C26" s="4">
        <v>91.07</v>
      </c>
    </row>
    <row r="27" spans="1:3" x14ac:dyDescent="0.25">
      <c r="A27" s="3">
        <v>44209</v>
      </c>
      <c r="B27" s="4">
        <v>85.03</v>
      </c>
      <c r="C27" s="4">
        <v>91.03</v>
      </c>
    </row>
    <row r="28" spans="1:3" x14ac:dyDescent="0.25">
      <c r="A28" s="3">
        <v>44210</v>
      </c>
      <c r="B28" s="4">
        <v>85.19</v>
      </c>
      <c r="C28" s="4">
        <v>91.19</v>
      </c>
    </row>
    <row r="29" spans="1:3" x14ac:dyDescent="0.25">
      <c r="A29" s="3">
        <v>44211</v>
      </c>
      <c r="B29" s="4">
        <v>85.14</v>
      </c>
      <c r="C29" s="4">
        <v>91.14</v>
      </c>
    </row>
    <row r="30" spans="1:3" x14ac:dyDescent="0.25">
      <c r="A30" s="3">
        <v>44214</v>
      </c>
      <c r="B30" s="4">
        <v>85.31</v>
      </c>
      <c r="C30" s="4">
        <v>91.31</v>
      </c>
    </row>
    <row r="31" spans="1:3" x14ac:dyDescent="0.25">
      <c r="A31" s="3">
        <v>44215</v>
      </c>
      <c r="B31" s="4">
        <v>85.77</v>
      </c>
      <c r="C31" s="4">
        <v>91.77</v>
      </c>
    </row>
    <row r="32" spans="1:3" x14ac:dyDescent="0.25">
      <c r="A32" s="3">
        <v>44216</v>
      </c>
      <c r="B32" s="4">
        <v>85.76</v>
      </c>
      <c r="C32" s="4">
        <v>91.76</v>
      </c>
    </row>
    <row r="33" spans="1:3" x14ac:dyDescent="0.25">
      <c r="A33" s="3">
        <v>44217</v>
      </c>
      <c r="B33" s="4">
        <v>85.91</v>
      </c>
      <c r="C33" s="4">
        <v>91.91</v>
      </c>
    </row>
    <row r="34" spans="1:3" x14ac:dyDescent="0.25">
      <c r="A34" s="3">
        <v>44218</v>
      </c>
      <c r="B34" s="4">
        <v>86</v>
      </c>
      <c r="C34" s="4">
        <v>92</v>
      </c>
    </row>
    <row r="35" spans="1:3" x14ac:dyDescent="0.25">
      <c r="A35" s="3">
        <v>44221</v>
      </c>
      <c r="B35" s="4">
        <v>86.35</v>
      </c>
      <c r="C35" s="4">
        <v>92.35</v>
      </c>
    </row>
    <row r="36" spans="1:3" x14ac:dyDescent="0.25">
      <c r="A36" s="3">
        <v>44222</v>
      </c>
      <c r="B36" s="4">
        <v>86.4</v>
      </c>
      <c r="C36" s="4">
        <v>92.4</v>
      </c>
    </row>
    <row r="37" spans="1:3" x14ac:dyDescent="0.25">
      <c r="A37" s="3">
        <v>44223</v>
      </c>
      <c r="B37" s="4">
        <v>86.44</v>
      </c>
      <c r="C37" s="4">
        <v>92.44</v>
      </c>
    </row>
    <row r="38" spans="1:3" x14ac:dyDescent="0.25">
      <c r="A38" s="3">
        <v>44224</v>
      </c>
      <c r="B38" s="4">
        <v>86.58</v>
      </c>
      <c r="C38" s="4">
        <v>92.58</v>
      </c>
    </row>
    <row r="39" spans="1:3" x14ac:dyDescent="0.25">
      <c r="A39" s="3">
        <v>44225</v>
      </c>
      <c r="B39" s="4">
        <v>86.7</v>
      </c>
      <c r="C39" s="4">
        <v>92.7</v>
      </c>
    </row>
    <row r="40" spans="1:3" x14ac:dyDescent="0.25">
      <c r="A40" s="3">
        <v>44227</v>
      </c>
      <c r="B40" s="4">
        <v>86.7</v>
      </c>
      <c r="C40" s="4">
        <v>92.7</v>
      </c>
    </row>
    <row r="41" spans="1:3" x14ac:dyDescent="0.25">
      <c r="A41" s="3">
        <v>44228</v>
      </c>
      <c r="B41" s="4">
        <v>86.99</v>
      </c>
      <c r="C41" s="4">
        <v>92.99</v>
      </c>
    </row>
    <row r="42" spans="1:3" x14ac:dyDescent="0.25">
      <c r="A42" s="3">
        <v>44229</v>
      </c>
      <c r="B42" s="4">
        <v>87.06</v>
      </c>
      <c r="C42" s="4">
        <v>93.06</v>
      </c>
    </row>
    <row r="43" spans="1:3" x14ac:dyDescent="0.25">
      <c r="A43" s="3">
        <v>44230</v>
      </c>
      <c r="B43" s="4">
        <v>86.96</v>
      </c>
      <c r="C43" s="4">
        <v>92.96</v>
      </c>
    </row>
    <row r="44" spans="1:3" x14ac:dyDescent="0.25">
      <c r="A44" s="3">
        <v>44231</v>
      </c>
      <c r="B44" s="4">
        <v>87.19</v>
      </c>
      <c r="C44" s="4">
        <v>93.19</v>
      </c>
    </row>
    <row r="45" spans="1:3" x14ac:dyDescent="0.25">
      <c r="A45" s="3">
        <v>44232</v>
      </c>
      <c r="B45" s="4">
        <v>87.32</v>
      </c>
      <c r="C45" s="4">
        <v>93.32</v>
      </c>
    </row>
    <row r="46" spans="1:3" x14ac:dyDescent="0.25">
      <c r="A46" s="3">
        <v>44235</v>
      </c>
      <c r="B46" s="4">
        <v>87.57</v>
      </c>
      <c r="C46" s="4">
        <v>93.57</v>
      </c>
    </row>
    <row r="47" spans="1:3" x14ac:dyDescent="0.25">
      <c r="A47" s="3">
        <v>44236</v>
      </c>
      <c r="B47" s="4">
        <v>87.58</v>
      </c>
      <c r="C47" s="4">
        <v>93.58</v>
      </c>
    </row>
    <row r="48" spans="1:3" x14ac:dyDescent="0.25">
      <c r="A48" s="3">
        <v>44237</v>
      </c>
      <c r="B48" s="4">
        <v>87.73</v>
      </c>
      <c r="C48" s="4">
        <v>93.73</v>
      </c>
    </row>
    <row r="49" spans="1:3" x14ac:dyDescent="0.25">
      <c r="A49" s="3">
        <v>44238</v>
      </c>
      <c r="B49" s="4">
        <v>87.87</v>
      </c>
      <c r="C49" s="4">
        <v>93.87</v>
      </c>
    </row>
    <row r="50" spans="1:3" x14ac:dyDescent="0.25">
      <c r="A50" s="3">
        <v>44239</v>
      </c>
      <c r="B50" s="4">
        <v>87.95</v>
      </c>
      <c r="C50" s="4">
        <v>93.95</v>
      </c>
    </row>
    <row r="51" spans="1:3" x14ac:dyDescent="0.25">
      <c r="A51" s="3">
        <v>44244</v>
      </c>
      <c r="B51" s="4">
        <v>88.23</v>
      </c>
      <c r="C51" s="4">
        <v>94.23</v>
      </c>
    </row>
    <row r="52" spans="1:3" x14ac:dyDescent="0.25">
      <c r="A52" s="3">
        <v>44245</v>
      </c>
      <c r="B52" s="4">
        <v>88.29</v>
      </c>
      <c r="C52" s="4">
        <v>94.29</v>
      </c>
    </row>
    <row r="53" spans="1:3" x14ac:dyDescent="0.25">
      <c r="A53" s="3">
        <v>44246</v>
      </c>
      <c r="B53" s="4">
        <v>88.4</v>
      </c>
      <c r="C53" s="4">
        <v>94.4</v>
      </c>
    </row>
    <row r="54" spans="1:3" x14ac:dyDescent="0.25">
      <c r="A54" s="3">
        <v>44249</v>
      </c>
      <c r="B54" s="4">
        <v>88.77</v>
      </c>
      <c r="C54" s="4">
        <v>94.77</v>
      </c>
    </row>
    <row r="55" spans="1:3" x14ac:dyDescent="0.25">
      <c r="A55" s="3">
        <v>44250</v>
      </c>
      <c r="B55" s="4">
        <v>88.83</v>
      </c>
      <c r="C55" s="4">
        <v>94.83</v>
      </c>
    </row>
    <row r="56" spans="1:3" x14ac:dyDescent="0.25">
      <c r="A56" s="3">
        <v>44251</v>
      </c>
      <c r="B56" s="4">
        <v>89.02</v>
      </c>
      <c r="C56" s="4">
        <v>95.02</v>
      </c>
    </row>
    <row r="57" spans="1:3" x14ac:dyDescent="0.25">
      <c r="A57" s="3">
        <v>44252</v>
      </c>
      <c r="B57" s="4">
        <v>89.08</v>
      </c>
      <c r="C57" s="4">
        <v>95.08</v>
      </c>
    </row>
    <row r="58" spans="1:3" x14ac:dyDescent="0.25">
      <c r="A58" s="3">
        <v>44253</v>
      </c>
      <c r="B58" s="4">
        <v>89.12</v>
      </c>
      <c r="C58" s="4">
        <v>95.12</v>
      </c>
    </row>
    <row r="59" spans="1:3" x14ac:dyDescent="0.25">
      <c r="A59" s="3">
        <v>44254</v>
      </c>
      <c r="B59" s="4">
        <v>89.12</v>
      </c>
      <c r="C59" s="4">
        <v>95.12</v>
      </c>
    </row>
    <row r="60" spans="1:3" x14ac:dyDescent="0.25">
      <c r="A60" s="3">
        <v>44255</v>
      </c>
      <c r="B60" s="4">
        <v>89.12</v>
      </c>
      <c r="C60" s="4">
        <v>95.12</v>
      </c>
    </row>
    <row r="61" spans="1:3" x14ac:dyDescent="0.25">
      <c r="A61" s="3">
        <v>44256</v>
      </c>
      <c r="B61" s="4">
        <v>89.49</v>
      </c>
      <c r="C61" s="4">
        <v>95.49</v>
      </c>
    </row>
    <row r="62" spans="1:3" x14ac:dyDescent="0.25">
      <c r="A62" s="3">
        <v>44257</v>
      </c>
      <c r="B62" s="4">
        <v>89.67</v>
      </c>
      <c r="C62" s="4">
        <v>95.67</v>
      </c>
    </row>
    <row r="63" spans="1:3" x14ac:dyDescent="0.25">
      <c r="A63" s="3">
        <v>44258</v>
      </c>
      <c r="B63" s="4">
        <v>89.73</v>
      </c>
      <c r="C63" s="4">
        <v>95.73</v>
      </c>
    </row>
    <row r="64" spans="1:3" x14ac:dyDescent="0.25">
      <c r="A64" s="3">
        <v>44259</v>
      </c>
      <c r="B64" s="4">
        <v>89.75</v>
      </c>
      <c r="C64" s="4">
        <v>95.75</v>
      </c>
    </row>
    <row r="65" spans="1:3" x14ac:dyDescent="0.25">
      <c r="A65" s="3">
        <v>44260</v>
      </c>
      <c r="B65" s="4">
        <v>89.69</v>
      </c>
      <c r="C65" s="4">
        <v>95.69</v>
      </c>
    </row>
    <row r="66" spans="1:3" x14ac:dyDescent="0.25">
      <c r="A66" s="3">
        <v>44263</v>
      </c>
      <c r="B66" s="4">
        <v>90</v>
      </c>
      <c r="C66" s="4">
        <v>96</v>
      </c>
    </row>
    <row r="67" spans="1:3" x14ac:dyDescent="0.25">
      <c r="A67" s="3">
        <v>44264</v>
      </c>
      <c r="B67" s="4">
        <v>90.07</v>
      </c>
      <c r="C67" s="4">
        <v>96.07</v>
      </c>
    </row>
    <row r="68" spans="1:3" x14ac:dyDescent="0.25">
      <c r="A68" s="3">
        <v>44265</v>
      </c>
      <c r="B68" s="4">
        <v>90.31</v>
      </c>
      <c r="C68" s="4">
        <v>96.31</v>
      </c>
    </row>
    <row r="69" spans="1:3" x14ac:dyDescent="0.25">
      <c r="A69" s="3">
        <v>44266</v>
      </c>
      <c r="B69" s="4">
        <v>90.45</v>
      </c>
      <c r="C69" s="4">
        <v>96.45</v>
      </c>
    </row>
    <row r="70" spans="1:3" x14ac:dyDescent="0.25">
      <c r="A70" s="3">
        <v>44267</v>
      </c>
      <c r="B70" s="4">
        <v>90.49</v>
      </c>
      <c r="C70" s="4">
        <v>96.49</v>
      </c>
    </row>
    <row r="71" spans="1:3" x14ac:dyDescent="0.25">
      <c r="A71" s="3">
        <v>44270</v>
      </c>
      <c r="B71" s="4">
        <v>90.69</v>
      </c>
      <c r="C71" s="4">
        <v>96.69</v>
      </c>
    </row>
    <row r="72" spans="1:3" x14ac:dyDescent="0.25">
      <c r="A72" s="3">
        <v>44271</v>
      </c>
      <c r="B72" s="4">
        <v>90.69</v>
      </c>
      <c r="C72" s="4">
        <v>96.69</v>
      </c>
    </row>
    <row r="73" spans="1:3" x14ac:dyDescent="0.25">
      <c r="A73" s="3">
        <v>44272</v>
      </c>
      <c r="B73" s="4">
        <v>90.76</v>
      </c>
      <c r="C73" s="4">
        <v>96.76</v>
      </c>
    </row>
    <row r="74" spans="1:3" x14ac:dyDescent="0.25">
      <c r="A74" s="3">
        <v>44273</v>
      </c>
      <c r="B74" s="4">
        <v>90.83</v>
      </c>
      <c r="C74" s="4">
        <v>96.83</v>
      </c>
    </row>
    <row r="75" spans="1:3" x14ac:dyDescent="0.25">
      <c r="A75" s="3">
        <v>44274</v>
      </c>
      <c r="B75" s="4">
        <v>90.98</v>
      </c>
      <c r="C75" s="4">
        <v>96.98</v>
      </c>
    </row>
    <row r="76" spans="1:3" x14ac:dyDescent="0.25">
      <c r="A76" s="3">
        <v>44277</v>
      </c>
      <c r="B76" s="4">
        <v>91.1</v>
      </c>
      <c r="C76" s="4">
        <v>97.1</v>
      </c>
    </row>
    <row r="77" spans="1:3" x14ac:dyDescent="0.25">
      <c r="A77" s="3">
        <v>44278</v>
      </c>
      <c r="B77" s="4">
        <v>91.33</v>
      </c>
      <c r="C77" s="4">
        <v>97.33</v>
      </c>
    </row>
    <row r="78" spans="1:3" x14ac:dyDescent="0.25">
      <c r="A78" s="3">
        <v>44280</v>
      </c>
      <c r="B78" s="4">
        <v>91.45</v>
      </c>
      <c r="C78" s="4">
        <v>97.45</v>
      </c>
    </row>
    <row r="79" spans="1:3" x14ac:dyDescent="0.25">
      <c r="A79" s="3">
        <v>44281</v>
      </c>
      <c r="B79" s="4">
        <v>91.57</v>
      </c>
      <c r="C79" s="4">
        <v>97.57</v>
      </c>
    </row>
    <row r="80" spans="1:3" x14ac:dyDescent="0.25">
      <c r="A80" s="3">
        <v>44284</v>
      </c>
      <c r="B80" s="4">
        <v>91.61</v>
      </c>
      <c r="C80" s="4">
        <v>97.61</v>
      </c>
    </row>
    <row r="81" spans="1:3" x14ac:dyDescent="0.25">
      <c r="A81" s="3">
        <v>44285</v>
      </c>
      <c r="B81" s="4">
        <v>91.61</v>
      </c>
      <c r="C81" s="4">
        <v>97.61</v>
      </c>
    </row>
    <row r="82" spans="1:3" x14ac:dyDescent="0.25">
      <c r="A82" s="3">
        <v>44286</v>
      </c>
      <c r="B82" s="4">
        <v>91.69</v>
      </c>
      <c r="C82" s="4">
        <v>97.69</v>
      </c>
    </row>
    <row r="83" spans="1:3" x14ac:dyDescent="0.25">
      <c r="A83" s="3">
        <v>44291</v>
      </c>
      <c r="B83" s="4">
        <v>92.1</v>
      </c>
      <c r="C83" s="4">
        <v>98.1</v>
      </c>
    </row>
    <row r="84" spans="1:3" x14ac:dyDescent="0.25">
      <c r="A84" s="3">
        <v>44292</v>
      </c>
      <c r="B84" s="4">
        <v>92.1</v>
      </c>
      <c r="C84" s="4">
        <v>98.1</v>
      </c>
    </row>
    <row r="85" spans="1:3" x14ac:dyDescent="0.25">
      <c r="A85" s="3">
        <v>44293</v>
      </c>
      <c r="B85" s="4">
        <v>92.19</v>
      </c>
      <c r="C85" s="4">
        <v>98.19</v>
      </c>
    </row>
    <row r="86" spans="1:3" x14ac:dyDescent="0.25">
      <c r="A86" s="3">
        <v>44294</v>
      </c>
      <c r="B86" s="4">
        <v>92.2</v>
      </c>
      <c r="C86" s="4">
        <v>98.2</v>
      </c>
    </row>
    <row r="87" spans="1:3" x14ac:dyDescent="0.25">
      <c r="A87" s="3">
        <v>44295</v>
      </c>
      <c r="B87" s="4">
        <v>92.21</v>
      </c>
      <c r="C87" s="4">
        <v>98.21</v>
      </c>
    </row>
    <row r="88" spans="1:3" x14ac:dyDescent="0.25">
      <c r="A88" s="3">
        <v>44298</v>
      </c>
      <c r="B88" s="4">
        <v>92.31</v>
      </c>
      <c r="C88" s="4">
        <v>98.31</v>
      </c>
    </row>
    <row r="89" spans="1:3" x14ac:dyDescent="0.25">
      <c r="A89" s="3">
        <v>44299</v>
      </c>
      <c r="B89" s="4">
        <v>92.33</v>
      </c>
      <c r="C89" s="4">
        <v>98.33</v>
      </c>
    </row>
    <row r="90" spans="1:3" x14ac:dyDescent="0.25">
      <c r="A90" s="3">
        <v>44300</v>
      </c>
      <c r="B90" s="4">
        <v>92.32</v>
      </c>
      <c r="C90" s="4">
        <v>98.32</v>
      </c>
    </row>
    <row r="91" spans="1:3" x14ac:dyDescent="0.25">
      <c r="A91" s="3">
        <v>44301</v>
      </c>
      <c r="B91" s="4">
        <v>92.47</v>
      </c>
      <c r="C91" s="4">
        <v>98.47</v>
      </c>
    </row>
    <row r="92" spans="1:3" x14ac:dyDescent="0.25">
      <c r="A92" s="3">
        <v>44302</v>
      </c>
      <c r="B92" s="4">
        <v>92.52</v>
      </c>
      <c r="C92" s="4">
        <v>98.52</v>
      </c>
    </row>
    <row r="93" spans="1:3" x14ac:dyDescent="0.25">
      <c r="A93" s="3">
        <v>44305</v>
      </c>
      <c r="B93" s="4">
        <v>92.59</v>
      </c>
      <c r="C93" s="4">
        <v>98.59</v>
      </c>
    </row>
    <row r="94" spans="1:3" x14ac:dyDescent="0.25">
      <c r="A94" s="3">
        <v>44306</v>
      </c>
      <c r="B94" s="4">
        <v>92.59</v>
      </c>
      <c r="C94" s="4">
        <v>98.59</v>
      </c>
    </row>
    <row r="95" spans="1:3" x14ac:dyDescent="0.25">
      <c r="A95" s="3">
        <v>44307</v>
      </c>
      <c r="B95" s="4">
        <v>92.61</v>
      </c>
      <c r="C95" s="4">
        <v>98.61</v>
      </c>
    </row>
    <row r="96" spans="1:3" x14ac:dyDescent="0.25">
      <c r="A96" s="3">
        <v>44308</v>
      </c>
      <c r="B96" s="4">
        <v>92.64</v>
      </c>
      <c r="C96" s="4">
        <v>98.64</v>
      </c>
    </row>
    <row r="97" spans="1:3" x14ac:dyDescent="0.25">
      <c r="A97" s="3">
        <v>44309</v>
      </c>
      <c r="B97" s="4">
        <v>92.78</v>
      </c>
      <c r="C97" s="4">
        <v>98.78</v>
      </c>
    </row>
    <row r="98" spans="1:3" x14ac:dyDescent="0.25">
      <c r="A98" s="3">
        <v>44312</v>
      </c>
      <c r="B98" s="4">
        <v>92.88</v>
      </c>
      <c r="C98" s="4">
        <v>98.88</v>
      </c>
    </row>
    <row r="99" spans="1:3" x14ac:dyDescent="0.25">
      <c r="A99" s="3">
        <v>44313</v>
      </c>
      <c r="B99" s="4">
        <v>92.89</v>
      </c>
      <c r="C99" s="4">
        <v>98.89</v>
      </c>
    </row>
    <row r="100" spans="1:3" x14ac:dyDescent="0.25">
      <c r="A100" s="3">
        <v>44314</v>
      </c>
      <c r="B100" s="4">
        <v>92.91</v>
      </c>
      <c r="C100" s="4">
        <v>98.91</v>
      </c>
    </row>
    <row r="101" spans="1:3" x14ac:dyDescent="0.25">
      <c r="A101" s="3">
        <v>44315</v>
      </c>
      <c r="B101" s="4">
        <v>92.97</v>
      </c>
      <c r="C101" s="4">
        <v>98.97</v>
      </c>
    </row>
    <row r="102" spans="1:3" x14ac:dyDescent="0.25">
      <c r="A102" s="3">
        <v>44316</v>
      </c>
      <c r="B102" s="4">
        <v>92.9</v>
      </c>
      <c r="C102" s="4">
        <v>98.9</v>
      </c>
    </row>
    <row r="103" spans="1:3" x14ac:dyDescent="0.25">
      <c r="A103" s="3">
        <v>44319</v>
      </c>
      <c r="B103" s="4">
        <v>93.21</v>
      </c>
      <c r="C103" s="4">
        <v>99.21</v>
      </c>
    </row>
    <row r="104" spans="1:3" x14ac:dyDescent="0.25">
      <c r="A104" s="3">
        <v>44320</v>
      </c>
      <c r="B104" s="4">
        <v>93.3</v>
      </c>
      <c r="C104" s="4">
        <v>99.3</v>
      </c>
    </row>
    <row r="105" spans="1:3" x14ac:dyDescent="0.25">
      <c r="A105" s="3">
        <v>44321</v>
      </c>
      <c r="B105" s="4">
        <v>93.33</v>
      </c>
      <c r="C105" s="4">
        <v>99.33</v>
      </c>
    </row>
    <row r="106" spans="1:3" x14ac:dyDescent="0.25">
      <c r="A106" s="3">
        <v>44322</v>
      </c>
      <c r="B106" s="4">
        <v>93.34</v>
      </c>
      <c r="C106" s="4">
        <v>99.34</v>
      </c>
    </row>
    <row r="107" spans="1:3" x14ac:dyDescent="0.25">
      <c r="A107" s="3">
        <v>44323</v>
      </c>
      <c r="B107" s="4">
        <v>93.43</v>
      </c>
      <c r="C107" s="4">
        <v>99.43</v>
      </c>
    </row>
    <row r="108" spans="1:3" x14ac:dyDescent="0.25">
      <c r="A108" s="3">
        <v>44326</v>
      </c>
      <c r="B108" s="4">
        <v>93.5</v>
      </c>
      <c r="C108" s="4">
        <v>99.5</v>
      </c>
    </row>
    <row r="109" spans="1:3" x14ac:dyDescent="0.25">
      <c r="A109" s="3">
        <v>44327</v>
      </c>
      <c r="B109" s="4">
        <v>93.5</v>
      </c>
      <c r="C109" s="4">
        <v>99.5</v>
      </c>
    </row>
    <row r="110" spans="1:3" x14ac:dyDescent="0.25">
      <c r="A110" s="3">
        <v>44328</v>
      </c>
      <c r="B110" s="4">
        <v>93.51</v>
      </c>
      <c r="C110" s="4">
        <v>99.51</v>
      </c>
    </row>
    <row r="111" spans="1:3" x14ac:dyDescent="0.25">
      <c r="A111" s="3">
        <v>44329</v>
      </c>
      <c r="B111" s="4">
        <v>93.51</v>
      </c>
      <c r="C111" s="4">
        <v>99.51</v>
      </c>
    </row>
    <row r="112" spans="1:3" x14ac:dyDescent="0.25">
      <c r="A112" s="3">
        <v>44330</v>
      </c>
      <c r="B112" s="4">
        <v>93.51</v>
      </c>
      <c r="C112" s="4">
        <v>99.51</v>
      </c>
    </row>
    <row r="113" spans="1:3" x14ac:dyDescent="0.25">
      <c r="A113" s="3">
        <v>44333</v>
      </c>
      <c r="B113" s="4">
        <v>93.64</v>
      </c>
      <c r="C113" s="4">
        <v>99.64</v>
      </c>
    </row>
    <row r="114" spans="1:3" x14ac:dyDescent="0.25">
      <c r="A114" s="3">
        <v>44334</v>
      </c>
      <c r="B114" s="4">
        <v>93.64</v>
      </c>
      <c r="C114" s="4">
        <v>99.64</v>
      </c>
    </row>
    <row r="115" spans="1:3" x14ac:dyDescent="0.25">
      <c r="A115" s="3">
        <v>44335</v>
      </c>
      <c r="B115" s="4">
        <v>93.7</v>
      </c>
      <c r="C115" s="4">
        <v>99.7</v>
      </c>
    </row>
    <row r="116" spans="1:3" x14ac:dyDescent="0.25">
      <c r="A116" s="3">
        <v>44336</v>
      </c>
      <c r="B116" s="4">
        <v>93.71</v>
      </c>
      <c r="C116" s="4">
        <v>99.71</v>
      </c>
    </row>
    <row r="117" spans="1:3" x14ac:dyDescent="0.25">
      <c r="A117" s="3">
        <v>44337</v>
      </c>
      <c r="B117" s="4">
        <v>93.71</v>
      </c>
      <c r="C117" s="4">
        <v>99.71</v>
      </c>
    </row>
    <row r="118" spans="1:3" x14ac:dyDescent="0.25">
      <c r="A118" s="3">
        <v>44342</v>
      </c>
      <c r="B118" s="4">
        <v>93.96</v>
      </c>
      <c r="C118" s="4">
        <v>99.96</v>
      </c>
    </row>
    <row r="119" spans="1:3" x14ac:dyDescent="0.25">
      <c r="A119" s="3">
        <v>44343</v>
      </c>
      <c r="B119" s="4">
        <v>94.02</v>
      </c>
      <c r="C119" s="4">
        <v>100.02</v>
      </c>
    </row>
    <row r="120" spans="1:3" x14ac:dyDescent="0.25">
      <c r="A120" s="3">
        <v>44344</v>
      </c>
      <c r="B120" s="4">
        <v>94.04</v>
      </c>
      <c r="C120" s="4">
        <v>100.04</v>
      </c>
    </row>
    <row r="121" spans="1:3" x14ac:dyDescent="0.25">
      <c r="A121" s="3">
        <v>44347</v>
      </c>
      <c r="B121" s="4">
        <v>94.09</v>
      </c>
      <c r="C121" s="4">
        <v>100.09</v>
      </c>
    </row>
    <row r="122" spans="1:3" x14ac:dyDescent="0.25">
      <c r="A122" s="3">
        <v>44348</v>
      </c>
      <c r="B122" s="4">
        <v>94.23</v>
      </c>
      <c r="C122" s="4">
        <v>100.23</v>
      </c>
    </row>
    <row r="123" spans="1:3" x14ac:dyDescent="0.25">
      <c r="A123" s="3">
        <v>44349</v>
      </c>
      <c r="B123" s="4">
        <v>94.26</v>
      </c>
      <c r="C123" s="4">
        <v>100.26</v>
      </c>
    </row>
    <row r="124" spans="1:3" x14ac:dyDescent="0.25">
      <c r="A124" s="3">
        <v>44350</v>
      </c>
      <c r="B124" s="4">
        <v>94.26</v>
      </c>
      <c r="C124" s="4">
        <v>100.26</v>
      </c>
    </row>
    <row r="125" spans="1:3" x14ac:dyDescent="0.25">
      <c r="A125" s="3">
        <v>44351</v>
      </c>
      <c r="B125" s="4">
        <v>94.28</v>
      </c>
      <c r="C125" s="4">
        <v>100.28</v>
      </c>
    </row>
    <row r="126" spans="1:3" x14ac:dyDescent="0.25">
      <c r="A126" s="3">
        <v>44354</v>
      </c>
      <c r="B126" s="4">
        <v>94.34</v>
      </c>
      <c r="C126" s="4">
        <v>100.34</v>
      </c>
    </row>
    <row r="127" spans="1:3" x14ac:dyDescent="0.25">
      <c r="A127" s="3">
        <v>44355</v>
      </c>
      <c r="B127" s="4">
        <v>94.37</v>
      </c>
      <c r="C127" s="4">
        <v>100.37</v>
      </c>
    </row>
    <row r="128" spans="1:3" x14ac:dyDescent="0.25">
      <c r="A128" s="3">
        <v>44356</v>
      </c>
      <c r="B128" s="4">
        <v>94.37</v>
      </c>
      <c r="C128" s="4">
        <v>100.37</v>
      </c>
    </row>
    <row r="129" spans="1:3" x14ac:dyDescent="0.25">
      <c r="A129" s="3">
        <v>44357</v>
      </c>
      <c r="B129" s="4">
        <v>94.37</v>
      </c>
      <c r="C129" s="4">
        <v>100.37</v>
      </c>
    </row>
    <row r="130" spans="1:3" x14ac:dyDescent="0.25">
      <c r="A130" s="3">
        <v>44358</v>
      </c>
      <c r="B130" s="4">
        <v>94.39</v>
      </c>
      <c r="C130" s="4">
        <v>100.39</v>
      </c>
    </row>
    <row r="131" spans="1:3" x14ac:dyDescent="0.25">
      <c r="A131" s="3">
        <v>44361</v>
      </c>
      <c r="B131" s="4">
        <v>94.53</v>
      </c>
      <c r="C131" s="4">
        <v>100.53</v>
      </c>
    </row>
    <row r="132" spans="1:3" x14ac:dyDescent="0.25">
      <c r="A132" s="3">
        <v>44362</v>
      </c>
      <c r="B132" s="4">
        <v>94.67</v>
      </c>
      <c r="C132" s="4">
        <v>100.67</v>
      </c>
    </row>
    <row r="133" spans="1:3" x14ac:dyDescent="0.25">
      <c r="A133" s="3">
        <v>44363</v>
      </c>
      <c r="B133" s="4">
        <v>94.62</v>
      </c>
      <c r="C133" s="4">
        <v>100.62</v>
      </c>
    </row>
    <row r="134" spans="1:3" x14ac:dyDescent="0.25">
      <c r="A134" s="3">
        <v>44364</v>
      </c>
      <c r="B134" s="4">
        <v>94.71</v>
      </c>
      <c r="C134" s="4">
        <v>100.71</v>
      </c>
    </row>
    <row r="135" spans="1:3" x14ac:dyDescent="0.25">
      <c r="A135" s="3">
        <v>44365</v>
      </c>
      <c r="B135" s="4">
        <v>94.71</v>
      </c>
      <c r="C135" s="4">
        <v>100.71</v>
      </c>
    </row>
    <row r="136" spans="1:3" x14ac:dyDescent="0.25">
      <c r="A136" s="3">
        <v>44369</v>
      </c>
      <c r="B136" s="4">
        <v>94.69</v>
      </c>
      <c r="C136" s="4">
        <v>100.69</v>
      </c>
    </row>
    <row r="137" spans="1:3" x14ac:dyDescent="0.25">
      <c r="A137" s="3">
        <v>44370</v>
      </c>
      <c r="B137" s="4">
        <v>94.89</v>
      </c>
      <c r="C137" s="4">
        <v>100.89</v>
      </c>
    </row>
    <row r="138" spans="1:3" x14ac:dyDescent="0.25">
      <c r="A138" s="3">
        <v>44371</v>
      </c>
      <c r="B138" s="4">
        <v>94.89</v>
      </c>
      <c r="C138" s="4">
        <v>100.89</v>
      </c>
    </row>
    <row r="139" spans="1:3" x14ac:dyDescent="0.25">
      <c r="A139" s="3">
        <v>44372</v>
      </c>
      <c r="B139" s="4">
        <v>94.99</v>
      </c>
      <c r="C139" s="4">
        <v>100.99</v>
      </c>
    </row>
    <row r="140" spans="1:3" x14ac:dyDescent="0.25">
      <c r="A140" s="3">
        <v>44375</v>
      </c>
      <c r="B140" s="4">
        <v>95.1</v>
      </c>
      <c r="C140" s="4">
        <v>101.1</v>
      </c>
    </row>
    <row r="141" spans="1:3" x14ac:dyDescent="0.25">
      <c r="A141" s="3">
        <v>44376</v>
      </c>
      <c r="B141" s="4">
        <v>95.14</v>
      </c>
      <c r="C141" s="4">
        <v>101.14</v>
      </c>
    </row>
    <row r="142" spans="1:3" x14ac:dyDescent="0.25">
      <c r="A142" s="3">
        <v>44377</v>
      </c>
      <c r="B142" s="4">
        <v>95.17</v>
      </c>
      <c r="C142" s="4">
        <v>101.17</v>
      </c>
    </row>
    <row r="143" spans="1:3" x14ac:dyDescent="0.25">
      <c r="A143" s="3">
        <v>44378</v>
      </c>
      <c r="B143" s="4">
        <v>95.23</v>
      </c>
      <c r="C143" s="4">
        <v>101.23</v>
      </c>
    </row>
    <row r="144" spans="1:3" x14ac:dyDescent="0.25">
      <c r="A144" s="3">
        <v>44379</v>
      </c>
      <c r="B144" s="4">
        <v>95.19</v>
      </c>
      <c r="C144" s="4">
        <v>101.19</v>
      </c>
    </row>
    <row r="145" spans="1:3" x14ac:dyDescent="0.25">
      <c r="A145" s="3">
        <v>44382</v>
      </c>
      <c r="B145" s="4">
        <v>95.28</v>
      </c>
      <c r="C145" s="4">
        <v>101.28</v>
      </c>
    </row>
    <row r="146" spans="1:3" x14ac:dyDescent="0.25">
      <c r="A146" s="3">
        <v>44383</v>
      </c>
      <c r="B146" s="4">
        <v>95.33</v>
      </c>
      <c r="C146" s="4">
        <v>101.33</v>
      </c>
    </row>
    <row r="147" spans="1:3" x14ac:dyDescent="0.25">
      <c r="A147" s="3">
        <v>44384</v>
      </c>
      <c r="B147" s="4">
        <v>95.34</v>
      </c>
      <c r="C147" s="4">
        <v>101.34</v>
      </c>
    </row>
    <row r="148" spans="1:3" x14ac:dyDescent="0.25">
      <c r="A148" s="3">
        <v>44385</v>
      </c>
      <c r="B148" s="4">
        <v>95.35</v>
      </c>
      <c r="C148" s="4">
        <v>101.35</v>
      </c>
    </row>
    <row r="149" spans="1:3" x14ac:dyDescent="0.25">
      <c r="A149" s="3">
        <v>44389</v>
      </c>
      <c r="B149" s="4">
        <v>95.42</v>
      </c>
      <c r="C149" s="4">
        <v>101.42</v>
      </c>
    </row>
    <row r="150" spans="1:3" x14ac:dyDescent="0.25">
      <c r="A150" s="3">
        <v>44390</v>
      </c>
      <c r="B150" s="4">
        <v>95.48</v>
      </c>
      <c r="C150" s="4">
        <v>101.48</v>
      </c>
    </row>
    <row r="151" spans="1:3" x14ac:dyDescent="0.25">
      <c r="A151" s="3">
        <v>44391</v>
      </c>
      <c r="B151" s="4">
        <v>95.63</v>
      </c>
      <c r="C151" s="4">
        <v>101.63</v>
      </c>
    </row>
    <row r="152" spans="1:3" x14ac:dyDescent="0.25">
      <c r="A152" s="3">
        <v>44392</v>
      </c>
      <c r="B152" s="4">
        <v>95.64</v>
      </c>
      <c r="C152" s="4">
        <v>101.64</v>
      </c>
    </row>
    <row r="153" spans="1:3" x14ac:dyDescent="0.25">
      <c r="A153" s="3">
        <v>44393</v>
      </c>
      <c r="B153" s="4">
        <v>95.65</v>
      </c>
      <c r="C153" s="4">
        <v>101.65</v>
      </c>
    </row>
    <row r="154" spans="1:3" x14ac:dyDescent="0.25">
      <c r="A154" s="3">
        <v>44396</v>
      </c>
      <c r="B154" s="4">
        <v>95.72</v>
      </c>
      <c r="C154" s="4">
        <v>101.72</v>
      </c>
    </row>
    <row r="155" spans="1:3" x14ac:dyDescent="0.25">
      <c r="A155" s="3">
        <v>44397</v>
      </c>
      <c r="B155" s="4">
        <v>95.75</v>
      </c>
      <c r="C155" s="4">
        <v>101.75</v>
      </c>
    </row>
    <row r="156" spans="1:3" x14ac:dyDescent="0.25">
      <c r="A156" s="3">
        <v>44398</v>
      </c>
      <c r="B156" s="4">
        <v>95.76</v>
      </c>
      <c r="C156" s="4">
        <v>101.76</v>
      </c>
    </row>
    <row r="157" spans="1:3" x14ac:dyDescent="0.25">
      <c r="A157" s="3">
        <v>44399</v>
      </c>
      <c r="B157" s="4">
        <v>95.69</v>
      </c>
      <c r="C157" s="4">
        <v>101.69</v>
      </c>
    </row>
    <row r="158" spans="1:3" x14ac:dyDescent="0.25">
      <c r="A158" s="3">
        <v>44400</v>
      </c>
      <c r="B158" s="4">
        <v>95.75</v>
      </c>
      <c r="C158" s="4">
        <v>101.75</v>
      </c>
    </row>
    <row r="159" spans="1:3" x14ac:dyDescent="0.25">
      <c r="A159" s="3">
        <v>44403</v>
      </c>
      <c r="B159" s="4">
        <v>95.77</v>
      </c>
      <c r="C159" s="4">
        <v>101.82</v>
      </c>
    </row>
    <row r="160" spans="1:3" x14ac:dyDescent="0.25">
      <c r="A160" s="3">
        <v>44404</v>
      </c>
      <c r="B160" s="4">
        <v>95.95</v>
      </c>
      <c r="C160" s="4">
        <v>101.95</v>
      </c>
    </row>
    <row r="161" spans="1:3" x14ac:dyDescent="0.25">
      <c r="A161" s="3">
        <v>44405</v>
      </c>
      <c r="B161" s="4">
        <v>96</v>
      </c>
      <c r="C161" s="4">
        <v>102</v>
      </c>
    </row>
    <row r="162" spans="1:3" x14ac:dyDescent="0.25">
      <c r="A162" s="3">
        <v>44406</v>
      </c>
      <c r="B162" s="4">
        <v>95.99</v>
      </c>
      <c r="C162" s="4">
        <v>101.99</v>
      </c>
    </row>
    <row r="163" spans="1:3" x14ac:dyDescent="0.25">
      <c r="A163" s="3">
        <v>44407</v>
      </c>
      <c r="B163" s="4">
        <v>96.06</v>
      </c>
      <c r="C163" s="4">
        <v>102.06</v>
      </c>
    </row>
    <row r="164" spans="1:3" x14ac:dyDescent="0.25">
      <c r="A164" s="3">
        <v>44408</v>
      </c>
      <c r="B164" s="4">
        <v>96.06</v>
      </c>
      <c r="C164" s="4">
        <v>102.06</v>
      </c>
    </row>
    <row r="165" spans="1:3" x14ac:dyDescent="0.25">
      <c r="A165" s="3">
        <v>44410</v>
      </c>
      <c r="B165" s="4">
        <v>96.12</v>
      </c>
      <c r="C165" s="4">
        <v>102.12</v>
      </c>
    </row>
    <row r="166" spans="1:3" x14ac:dyDescent="0.25">
      <c r="A166" s="3">
        <v>44411</v>
      </c>
      <c r="B166" s="4">
        <v>96.18</v>
      </c>
      <c r="C166" s="4">
        <v>102.18</v>
      </c>
    </row>
    <row r="167" spans="1:3" x14ac:dyDescent="0.25">
      <c r="A167" s="3">
        <v>44412</v>
      </c>
      <c r="B167" s="4">
        <v>96.25</v>
      </c>
      <c r="C167" s="4">
        <v>102.25</v>
      </c>
    </row>
    <row r="168" spans="1:3" x14ac:dyDescent="0.25">
      <c r="A168" s="3">
        <v>44413</v>
      </c>
      <c r="B168" s="4">
        <v>96.28</v>
      </c>
      <c r="C168" s="4">
        <v>102.28</v>
      </c>
    </row>
    <row r="169" spans="1:3" x14ac:dyDescent="0.25">
      <c r="A169" s="3">
        <v>44414</v>
      </c>
      <c r="B169" s="4">
        <v>96.3</v>
      </c>
      <c r="C169" s="4">
        <v>102.3</v>
      </c>
    </row>
    <row r="170" spans="1:3" x14ac:dyDescent="0.25">
      <c r="A170" s="3">
        <v>44417</v>
      </c>
      <c r="B170" s="4">
        <v>96.33</v>
      </c>
      <c r="C170" s="4">
        <v>102.33</v>
      </c>
    </row>
    <row r="171" spans="1:3" x14ac:dyDescent="0.25">
      <c r="A171" s="3">
        <v>44418</v>
      </c>
      <c r="B171" s="4">
        <v>96.34</v>
      </c>
      <c r="C171" s="4">
        <v>102.34</v>
      </c>
    </row>
    <row r="172" spans="1:3" x14ac:dyDescent="0.25">
      <c r="A172" s="3">
        <v>44419</v>
      </c>
      <c r="B172" s="4">
        <v>96.34</v>
      </c>
      <c r="C172" s="4">
        <v>102.34</v>
      </c>
    </row>
    <row r="173" spans="1:3" x14ac:dyDescent="0.25">
      <c r="A173" s="3">
        <v>44420</v>
      </c>
      <c r="B173" s="4">
        <v>96.36</v>
      </c>
      <c r="C173" s="4">
        <v>102.36</v>
      </c>
    </row>
    <row r="174" spans="1:3" x14ac:dyDescent="0.25">
      <c r="A174" s="3">
        <v>44421</v>
      </c>
      <c r="B174" s="4">
        <v>96.53</v>
      </c>
      <c r="C174" s="4">
        <v>102.53</v>
      </c>
    </row>
    <row r="175" spans="1:3" x14ac:dyDescent="0.25">
      <c r="A175" s="3">
        <v>44425</v>
      </c>
      <c r="B175" s="4">
        <v>96.57</v>
      </c>
      <c r="C175" s="4">
        <v>102.57</v>
      </c>
    </row>
    <row r="176" spans="1:3" x14ac:dyDescent="0.25">
      <c r="A176" s="3">
        <v>44426</v>
      </c>
      <c r="B176" s="4">
        <v>96.57</v>
      </c>
      <c r="C176" s="4">
        <v>102.57</v>
      </c>
    </row>
    <row r="177" spans="1:3" x14ac:dyDescent="0.25">
      <c r="A177" s="3">
        <v>44427</v>
      </c>
      <c r="B177" s="4">
        <v>96.61</v>
      </c>
      <c r="C177" s="4">
        <v>102.61</v>
      </c>
    </row>
    <row r="178" spans="1:3" x14ac:dyDescent="0.25">
      <c r="A178" s="3">
        <v>44428</v>
      </c>
      <c r="B178" s="4">
        <v>96.64</v>
      </c>
      <c r="C178" s="4">
        <v>102.64</v>
      </c>
    </row>
    <row r="179" spans="1:3" x14ac:dyDescent="0.25">
      <c r="A179" s="3">
        <v>44431</v>
      </c>
      <c r="B179" s="4">
        <v>96.76</v>
      </c>
      <c r="C179" s="4">
        <v>102.76</v>
      </c>
    </row>
    <row r="180" spans="1:3" x14ac:dyDescent="0.25">
      <c r="A180" s="3">
        <v>44432</v>
      </c>
      <c r="B180" s="4">
        <v>96.79</v>
      </c>
      <c r="C180" s="4">
        <v>102.79</v>
      </c>
    </row>
    <row r="181" spans="1:3" x14ac:dyDescent="0.25">
      <c r="A181" s="3">
        <v>44433</v>
      </c>
      <c r="B181" s="4">
        <v>96.79</v>
      </c>
      <c r="C181" s="4">
        <v>102.79</v>
      </c>
    </row>
    <row r="182" spans="1:3" x14ac:dyDescent="0.25">
      <c r="A182" s="3">
        <v>44434</v>
      </c>
      <c r="B182" s="4">
        <v>96.97</v>
      </c>
      <c r="C182" s="4">
        <v>102.97</v>
      </c>
    </row>
    <row r="183" spans="1:3" x14ac:dyDescent="0.25">
      <c r="A183" s="3">
        <v>44435</v>
      </c>
      <c r="B183" s="4">
        <v>96.97</v>
      </c>
      <c r="C183" s="4">
        <v>102.97</v>
      </c>
    </row>
    <row r="184" spans="1:3" x14ac:dyDescent="0.25">
      <c r="A184" s="3">
        <v>44438</v>
      </c>
      <c r="B184" s="4">
        <v>97.11</v>
      </c>
      <c r="C184" s="4">
        <v>103.11</v>
      </c>
    </row>
    <row r="185" spans="1:3" x14ac:dyDescent="0.25">
      <c r="A185" s="3">
        <v>44439</v>
      </c>
      <c r="B185" s="4">
        <v>97.14</v>
      </c>
      <c r="C185" s="4">
        <v>103.14</v>
      </c>
    </row>
    <row r="186" spans="1:3" x14ac:dyDescent="0.25">
      <c r="A186" s="3">
        <v>44440</v>
      </c>
      <c r="B186" s="4">
        <v>97.22</v>
      </c>
      <c r="C186" s="4">
        <v>103.22</v>
      </c>
    </row>
    <row r="187" spans="1:3" x14ac:dyDescent="0.25">
      <c r="A187" s="3">
        <v>44441</v>
      </c>
      <c r="B187" s="4">
        <v>97.31</v>
      </c>
      <c r="C187" s="4">
        <v>103.31</v>
      </c>
    </row>
    <row r="188" spans="1:3" x14ac:dyDescent="0.25">
      <c r="A188" s="3">
        <v>44442</v>
      </c>
      <c r="B188" s="4">
        <v>97.33</v>
      </c>
      <c r="C188" s="4">
        <v>103.33</v>
      </c>
    </row>
    <row r="189" spans="1:3" x14ac:dyDescent="0.25">
      <c r="A189" s="3">
        <v>44445</v>
      </c>
      <c r="B189" s="4">
        <v>97.45</v>
      </c>
      <c r="C189" s="4">
        <v>103.45</v>
      </c>
    </row>
    <row r="190" spans="1:3" x14ac:dyDescent="0.25">
      <c r="A190" s="3">
        <v>44446</v>
      </c>
      <c r="B190" s="4">
        <v>97.42</v>
      </c>
      <c r="C190" s="4">
        <v>103.42</v>
      </c>
    </row>
    <row r="191" spans="1:3" x14ac:dyDescent="0.25">
      <c r="A191" s="3">
        <v>44447</v>
      </c>
      <c r="B191" s="4">
        <v>97.53</v>
      </c>
      <c r="C191" s="4">
        <v>103.53</v>
      </c>
    </row>
    <row r="192" spans="1:3" x14ac:dyDescent="0.25">
      <c r="A192" s="3">
        <v>44448</v>
      </c>
      <c r="B192" s="4">
        <v>97.54</v>
      </c>
      <c r="C192" s="4">
        <v>103.54</v>
      </c>
    </row>
    <row r="193" spans="1:3" x14ac:dyDescent="0.25">
      <c r="A193" s="3">
        <v>44449</v>
      </c>
      <c r="B193" s="4">
        <v>97.56</v>
      </c>
      <c r="C193" s="4">
        <v>103.56</v>
      </c>
    </row>
    <row r="194" spans="1:3" x14ac:dyDescent="0.25">
      <c r="A194" s="3">
        <v>44452</v>
      </c>
      <c r="B194" s="4">
        <v>97.62</v>
      </c>
      <c r="C194" s="4">
        <v>103.62</v>
      </c>
    </row>
    <row r="195" spans="1:3" x14ac:dyDescent="0.25">
      <c r="A195" s="3">
        <v>44453</v>
      </c>
      <c r="B195" s="4">
        <v>97.62</v>
      </c>
      <c r="C195" s="4">
        <v>103.62</v>
      </c>
    </row>
    <row r="196" spans="1:3" x14ac:dyDescent="0.25">
      <c r="A196" s="3">
        <v>44454</v>
      </c>
      <c r="B196" s="4">
        <v>97.65</v>
      </c>
      <c r="C196" s="4">
        <v>103.71</v>
      </c>
    </row>
    <row r="197" spans="1:3" x14ac:dyDescent="0.25">
      <c r="A197" s="3">
        <v>44455</v>
      </c>
      <c r="B197" s="4">
        <v>97.65</v>
      </c>
      <c r="C197" s="4">
        <v>103.65</v>
      </c>
    </row>
    <row r="198" spans="1:3" x14ac:dyDescent="0.25">
      <c r="A198" s="3">
        <v>44456</v>
      </c>
      <c r="B198" s="4">
        <v>97.77</v>
      </c>
      <c r="C198" s="4">
        <v>103.77</v>
      </c>
    </row>
    <row r="199" spans="1:3" x14ac:dyDescent="0.25">
      <c r="A199" s="3">
        <v>44459</v>
      </c>
      <c r="B199" s="4">
        <v>98.09</v>
      </c>
      <c r="C199" s="4">
        <v>104.09</v>
      </c>
    </row>
    <row r="200" spans="1:3" x14ac:dyDescent="0.25">
      <c r="A200" s="3">
        <v>44460</v>
      </c>
      <c r="B200" s="4">
        <v>98.26</v>
      </c>
      <c r="C200" s="4">
        <v>104.26</v>
      </c>
    </row>
    <row r="201" spans="1:3" x14ac:dyDescent="0.25">
      <c r="A201" s="3">
        <v>44461</v>
      </c>
      <c r="B201" s="4">
        <v>98.1</v>
      </c>
      <c r="C201" s="4">
        <v>104.1</v>
      </c>
    </row>
    <row r="202" spans="1:3" x14ac:dyDescent="0.25">
      <c r="A202" s="3">
        <v>44462</v>
      </c>
      <c r="B202" s="4">
        <v>98.04</v>
      </c>
      <c r="C202" s="4">
        <v>104.04</v>
      </c>
    </row>
    <row r="203" spans="1:3" x14ac:dyDescent="0.25">
      <c r="A203" s="3">
        <v>44463</v>
      </c>
      <c r="B203" s="4">
        <v>98.12</v>
      </c>
      <c r="C203" s="4">
        <v>104.12</v>
      </c>
    </row>
    <row r="204" spans="1:3" x14ac:dyDescent="0.25">
      <c r="A204" s="3">
        <v>44466</v>
      </c>
      <c r="B204" s="4">
        <v>98.18</v>
      </c>
      <c r="C204" s="4">
        <v>104.18</v>
      </c>
    </row>
    <row r="205" spans="1:3" x14ac:dyDescent="0.25">
      <c r="A205" s="3">
        <v>44467</v>
      </c>
      <c r="B205" s="4">
        <v>98.19</v>
      </c>
      <c r="C205" s="4">
        <v>104.19</v>
      </c>
    </row>
    <row r="206" spans="1:3" x14ac:dyDescent="0.25">
      <c r="A206" s="3">
        <v>44468</v>
      </c>
      <c r="B206" s="4">
        <v>98.2</v>
      </c>
      <c r="C206" s="4">
        <v>104.2</v>
      </c>
    </row>
    <row r="207" spans="1:3" x14ac:dyDescent="0.25">
      <c r="A207" s="3">
        <v>44469</v>
      </c>
      <c r="B207" s="4">
        <v>98.3</v>
      </c>
      <c r="C207" s="4">
        <v>104.3</v>
      </c>
    </row>
    <row r="208" spans="1:3" x14ac:dyDescent="0.25">
      <c r="A208" s="3">
        <v>44470</v>
      </c>
      <c r="B208" s="4">
        <v>98.3</v>
      </c>
      <c r="C208" s="4">
        <v>104.3</v>
      </c>
    </row>
    <row r="209" spans="1:3" x14ac:dyDescent="0.25">
      <c r="A209" s="3">
        <v>44473</v>
      </c>
      <c r="B209" s="4">
        <v>98.34</v>
      </c>
      <c r="C209" s="4">
        <v>104.34</v>
      </c>
    </row>
    <row r="210" spans="1:3" x14ac:dyDescent="0.25">
      <c r="A210" s="3">
        <v>44474</v>
      </c>
      <c r="B210" s="4">
        <v>98.53</v>
      </c>
      <c r="C210" s="4">
        <v>104.53</v>
      </c>
    </row>
    <row r="211" spans="1:3" x14ac:dyDescent="0.25">
      <c r="A211" s="3">
        <v>44475</v>
      </c>
      <c r="B211" s="4">
        <v>98.53</v>
      </c>
      <c r="C211" s="4">
        <v>104.53</v>
      </c>
    </row>
    <row r="212" spans="1:3" x14ac:dyDescent="0.25">
      <c r="A212" s="3">
        <v>44476</v>
      </c>
      <c r="B212" s="4">
        <v>98.53</v>
      </c>
      <c r="C212" s="4">
        <v>104.53</v>
      </c>
    </row>
    <row r="213" spans="1:3" x14ac:dyDescent="0.25">
      <c r="A213" s="3">
        <v>44481</v>
      </c>
      <c r="B213" s="4">
        <v>98.47</v>
      </c>
      <c r="C213" s="4">
        <v>104.47</v>
      </c>
    </row>
    <row r="214" spans="1:3" x14ac:dyDescent="0.25">
      <c r="A214" s="3">
        <v>44482</v>
      </c>
      <c r="B214" s="4">
        <v>98.64</v>
      </c>
      <c r="C214" s="4">
        <v>104.64</v>
      </c>
    </row>
    <row r="215" spans="1:3" x14ac:dyDescent="0.25">
      <c r="A215" s="3">
        <v>44483</v>
      </c>
      <c r="B215" s="4">
        <v>98.59</v>
      </c>
      <c r="C215" s="4">
        <v>104.59</v>
      </c>
    </row>
    <row r="216" spans="1:3" x14ac:dyDescent="0.25">
      <c r="A216" s="3">
        <v>44484</v>
      </c>
      <c r="B216" s="4">
        <v>98.7</v>
      </c>
      <c r="C216" s="4">
        <v>104.7</v>
      </c>
    </row>
    <row r="217" spans="1:3" x14ac:dyDescent="0.25">
      <c r="A217" s="3">
        <v>44487</v>
      </c>
      <c r="B217" s="4">
        <v>98.79</v>
      </c>
      <c r="C217" s="4">
        <v>104.79</v>
      </c>
    </row>
    <row r="218" spans="1:3" x14ac:dyDescent="0.25">
      <c r="A218" s="3">
        <v>44488</v>
      </c>
      <c r="B218" s="4">
        <v>98.88</v>
      </c>
      <c r="C218" s="4">
        <v>104.88</v>
      </c>
    </row>
    <row r="219" spans="1:3" x14ac:dyDescent="0.25">
      <c r="A219" s="3">
        <v>44489</v>
      </c>
      <c r="B219" s="4">
        <v>98.88</v>
      </c>
      <c r="C219" s="4">
        <v>104.88</v>
      </c>
    </row>
    <row r="220" spans="1:3" x14ac:dyDescent="0.25">
      <c r="A220" s="3">
        <v>44490</v>
      </c>
      <c r="B220" s="4">
        <v>98.89</v>
      </c>
      <c r="C220" s="4">
        <v>104.89</v>
      </c>
    </row>
    <row r="221" spans="1:3" x14ac:dyDescent="0.25">
      <c r="A221" s="3">
        <v>44491</v>
      </c>
      <c r="B221" s="4">
        <v>98.94</v>
      </c>
      <c r="C221" s="4">
        <v>104.94</v>
      </c>
    </row>
    <row r="222" spans="1:3" x14ac:dyDescent="0.25">
      <c r="A222" s="3">
        <v>44494</v>
      </c>
      <c r="B222" s="4">
        <v>99.04</v>
      </c>
      <c r="C222" s="4">
        <v>105.04</v>
      </c>
    </row>
    <row r="223" spans="1:3" x14ac:dyDescent="0.25">
      <c r="A223" s="3">
        <v>44495</v>
      </c>
      <c r="B223" s="4">
        <v>99.05</v>
      </c>
      <c r="C223" s="4">
        <v>105.05</v>
      </c>
    </row>
    <row r="224" spans="1:3" x14ac:dyDescent="0.25">
      <c r="A224" s="3">
        <v>44496</v>
      </c>
      <c r="B224" s="4">
        <v>99.13</v>
      </c>
      <c r="C224" s="4">
        <v>105.13</v>
      </c>
    </row>
    <row r="225" spans="1:3" x14ac:dyDescent="0.25">
      <c r="A225" s="3">
        <v>44497</v>
      </c>
      <c r="B225" s="4">
        <v>99.15</v>
      </c>
      <c r="C225" s="4">
        <v>105.15</v>
      </c>
    </row>
    <row r="226" spans="1:3" x14ac:dyDescent="0.25">
      <c r="A226" s="3">
        <v>44498</v>
      </c>
      <c r="B226" s="4">
        <v>99.23</v>
      </c>
      <c r="C226" s="4">
        <v>105.23</v>
      </c>
    </row>
    <row r="227" spans="1:3" x14ac:dyDescent="0.25">
      <c r="A227" s="3">
        <v>44500</v>
      </c>
      <c r="B227" s="4">
        <v>99.35</v>
      </c>
      <c r="C227" s="4">
        <v>105.35</v>
      </c>
    </row>
    <row r="228" spans="1:3" x14ac:dyDescent="0.25">
      <c r="A228" s="3">
        <v>44501</v>
      </c>
      <c r="B228" s="4">
        <v>99.35</v>
      </c>
      <c r="C228" s="4">
        <v>105.35</v>
      </c>
    </row>
    <row r="229" spans="1:3" x14ac:dyDescent="0.25">
      <c r="A229" s="3">
        <v>44502</v>
      </c>
      <c r="B229" s="4">
        <v>99.36</v>
      </c>
      <c r="C229" s="4">
        <v>105.36</v>
      </c>
    </row>
    <row r="230" spans="1:3" x14ac:dyDescent="0.25">
      <c r="A230" s="3">
        <v>44503</v>
      </c>
      <c r="B230" s="4">
        <v>99.38</v>
      </c>
      <c r="C230" s="4">
        <v>105.38</v>
      </c>
    </row>
    <row r="231" spans="1:3" x14ac:dyDescent="0.25">
      <c r="A231" s="3">
        <v>44504</v>
      </c>
      <c r="B231" s="4">
        <v>99.4</v>
      </c>
      <c r="C231" s="4">
        <v>105.4</v>
      </c>
    </row>
    <row r="232" spans="1:3" x14ac:dyDescent="0.25">
      <c r="A232" s="3">
        <v>44505</v>
      </c>
      <c r="B232" s="4">
        <v>99.45</v>
      </c>
      <c r="C232" s="4">
        <v>105.45</v>
      </c>
    </row>
    <row r="233" spans="1:3" x14ac:dyDescent="0.25">
      <c r="A233" s="3">
        <v>44508</v>
      </c>
      <c r="B233" s="4">
        <v>99.58</v>
      </c>
      <c r="C233" s="4">
        <v>105.58</v>
      </c>
    </row>
    <row r="234" spans="1:3" x14ac:dyDescent="0.25">
      <c r="A234" s="3">
        <v>44509</v>
      </c>
      <c r="B234" s="4">
        <v>99.63</v>
      </c>
      <c r="C234" s="4">
        <v>105.63</v>
      </c>
    </row>
    <row r="235" spans="1:3" x14ac:dyDescent="0.25">
      <c r="A235" s="3">
        <v>44510</v>
      </c>
      <c r="B235" s="4">
        <v>99.67</v>
      </c>
      <c r="C235" s="4">
        <v>105.67</v>
      </c>
    </row>
    <row r="236" spans="1:3" x14ac:dyDescent="0.25">
      <c r="A236" s="3">
        <v>44511</v>
      </c>
      <c r="B236" s="4">
        <v>100.79</v>
      </c>
      <c r="C236" s="4">
        <v>105.79</v>
      </c>
    </row>
    <row r="237" spans="1:3" x14ac:dyDescent="0.25">
      <c r="A237" s="3">
        <v>44512</v>
      </c>
      <c r="B237" s="4">
        <v>99.82</v>
      </c>
      <c r="C237" s="4">
        <v>105.82</v>
      </c>
    </row>
    <row r="238" spans="1:3" x14ac:dyDescent="0.25">
      <c r="A238" s="3">
        <v>44515</v>
      </c>
      <c r="B238" s="4">
        <v>99.88</v>
      </c>
      <c r="C238" s="4">
        <v>105.88</v>
      </c>
    </row>
    <row r="239" spans="1:3" x14ac:dyDescent="0.25">
      <c r="A239" s="3">
        <v>44516</v>
      </c>
      <c r="B239" s="4">
        <v>99.92</v>
      </c>
      <c r="C239" s="4">
        <v>105.92</v>
      </c>
    </row>
    <row r="240" spans="1:3" x14ac:dyDescent="0.25">
      <c r="A240" s="3">
        <v>44517</v>
      </c>
      <c r="B240" s="4">
        <v>99.94</v>
      </c>
      <c r="C240" s="4">
        <v>105.94</v>
      </c>
    </row>
    <row r="241" spans="1:3" x14ac:dyDescent="0.25">
      <c r="A241" s="3">
        <v>44518</v>
      </c>
      <c r="B241" s="4">
        <v>99.95</v>
      </c>
      <c r="C241" s="4">
        <v>105.95</v>
      </c>
    </row>
    <row r="242" spans="1:3" x14ac:dyDescent="0.25">
      <c r="A242" s="3">
        <v>44519</v>
      </c>
      <c r="B242" s="4">
        <v>99.96</v>
      </c>
      <c r="C242" s="4">
        <v>105.96</v>
      </c>
    </row>
    <row r="243" spans="1:3" x14ac:dyDescent="0.25">
      <c r="A243" s="3">
        <v>44523</v>
      </c>
      <c r="B243" s="4">
        <v>100.09</v>
      </c>
      <c r="C243" s="4">
        <v>106.09</v>
      </c>
    </row>
    <row r="244" spans="1:3" x14ac:dyDescent="0.25">
      <c r="A244" s="3">
        <v>44524</v>
      </c>
      <c r="B244" s="4">
        <v>100.08</v>
      </c>
      <c r="C244" s="4">
        <v>106.08</v>
      </c>
    </row>
    <row r="245" spans="1:3" x14ac:dyDescent="0.25">
      <c r="A245" s="3">
        <v>44525</v>
      </c>
      <c r="B245" s="4">
        <v>100.16</v>
      </c>
      <c r="C245" s="4">
        <v>106.16</v>
      </c>
    </row>
    <row r="246" spans="1:3" x14ac:dyDescent="0.25">
      <c r="A246" s="3">
        <v>44526</v>
      </c>
      <c r="B246" s="4">
        <v>100.17</v>
      </c>
      <c r="C246" s="4">
        <v>106.17</v>
      </c>
    </row>
    <row r="247" spans="1:3" x14ac:dyDescent="0.25">
      <c r="A247" s="3">
        <v>44529</v>
      </c>
      <c r="B247" s="4">
        <v>100.41</v>
      </c>
      <c r="C247" s="4">
        <v>106.41</v>
      </c>
    </row>
    <row r="248" spans="1:3" x14ac:dyDescent="0.25">
      <c r="A248" s="3">
        <v>44530</v>
      </c>
      <c r="B248" s="4">
        <v>100.48</v>
      </c>
      <c r="C248" s="4">
        <v>106.48</v>
      </c>
    </row>
    <row r="249" spans="1:3" x14ac:dyDescent="0.25">
      <c r="A249" s="3">
        <v>44531</v>
      </c>
      <c r="B249" s="4">
        <v>100.55</v>
      </c>
      <c r="C249" s="4">
        <v>106.55</v>
      </c>
    </row>
    <row r="250" spans="1:3" x14ac:dyDescent="0.25">
      <c r="A250" s="3">
        <v>44532</v>
      </c>
      <c r="B250" s="4">
        <v>100.6</v>
      </c>
      <c r="C250" s="4">
        <v>106.6</v>
      </c>
    </row>
    <row r="251" spans="1:3" x14ac:dyDescent="0.25">
      <c r="A251" s="3">
        <v>44533</v>
      </c>
      <c r="B251" s="4">
        <v>100.63</v>
      </c>
      <c r="C251" s="4">
        <v>106.63</v>
      </c>
    </row>
    <row r="252" spans="1:3" x14ac:dyDescent="0.25">
      <c r="A252" s="3">
        <v>44536</v>
      </c>
      <c r="B252" s="4">
        <v>100.65</v>
      </c>
      <c r="C252" s="4">
        <v>106.65</v>
      </c>
    </row>
    <row r="253" spans="1:3" x14ac:dyDescent="0.25">
      <c r="A253" s="3">
        <v>44537</v>
      </c>
      <c r="B253" s="4">
        <v>100.88</v>
      </c>
      <c r="C253" s="4">
        <v>106.88</v>
      </c>
    </row>
    <row r="254" spans="1:3" x14ac:dyDescent="0.25">
      <c r="A254" s="3">
        <v>44539</v>
      </c>
      <c r="B254" s="4">
        <v>101.26</v>
      </c>
      <c r="C254" s="4">
        <v>107.26</v>
      </c>
    </row>
    <row r="255" spans="1:3" x14ac:dyDescent="0.25">
      <c r="A255" s="3">
        <v>44540</v>
      </c>
      <c r="B255" s="4">
        <v>101.3</v>
      </c>
      <c r="C255" s="4">
        <v>107.3</v>
      </c>
    </row>
    <row r="256" spans="1:3" x14ac:dyDescent="0.25">
      <c r="A256" s="3">
        <v>44543</v>
      </c>
      <c r="B256" s="4">
        <v>101.38</v>
      </c>
      <c r="C256" s="4">
        <v>107.38</v>
      </c>
    </row>
    <row r="257" spans="1:3" x14ac:dyDescent="0.25">
      <c r="A257" s="3">
        <v>44544</v>
      </c>
      <c r="B257" s="4">
        <v>101.49</v>
      </c>
      <c r="C257" s="4">
        <v>107.49</v>
      </c>
    </row>
    <row r="258" spans="1:3" x14ac:dyDescent="0.25">
      <c r="A258" s="3">
        <v>44545</v>
      </c>
      <c r="B258" s="4">
        <v>101.51</v>
      </c>
      <c r="C258" s="4">
        <v>107.51</v>
      </c>
    </row>
    <row r="259" spans="1:3" x14ac:dyDescent="0.25">
      <c r="A259" s="3">
        <v>44546</v>
      </c>
      <c r="B259" s="4">
        <v>101.55</v>
      </c>
      <c r="C259" s="4">
        <v>107.55</v>
      </c>
    </row>
    <row r="260" spans="1:3" x14ac:dyDescent="0.25">
      <c r="A260" s="3">
        <v>44547</v>
      </c>
      <c r="B260" s="4">
        <v>101.57</v>
      </c>
      <c r="C260" s="4">
        <v>107.57</v>
      </c>
    </row>
    <row r="261" spans="1:3" x14ac:dyDescent="0.25">
      <c r="A261" s="3">
        <v>44550</v>
      </c>
      <c r="B261" s="4">
        <v>101.61</v>
      </c>
      <c r="C261" s="4">
        <v>107.61</v>
      </c>
    </row>
    <row r="262" spans="1:3" x14ac:dyDescent="0.25">
      <c r="A262" s="3">
        <v>44551</v>
      </c>
      <c r="B262" s="4">
        <v>101.73</v>
      </c>
      <c r="C262" s="4">
        <v>107.73</v>
      </c>
    </row>
    <row r="263" spans="1:3" x14ac:dyDescent="0.25">
      <c r="A263" s="3">
        <v>44552</v>
      </c>
      <c r="B263" s="4">
        <v>101.79</v>
      </c>
      <c r="C263" s="4">
        <v>107.79</v>
      </c>
    </row>
    <row r="264" spans="1:3" x14ac:dyDescent="0.25">
      <c r="A264" s="3">
        <v>44553</v>
      </c>
      <c r="B264" s="4">
        <v>101.74</v>
      </c>
      <c r="C264" s="4">
        <v>107.74</v>
      </c>
    </row>
    <row r="265" spans="1:3" x14ac:dyDescent="0.25">
      <c r="A265" s="3">
        <v>44557</v>
      </c>
      <c r="B265" s="4">
        <v>101.94</v>
      </c>
      <c r="C265" s="4">
        <v>107.94</v>
      </c>
    </row>
    <row r="266" spans="1:3" x14ac:dyDescent="0.25">
      <c r="A266" s="3">
        <v>44558</v>
      </c>
      <c r="B266" s="4">
        <v>102.14</v>
      </c>
      <c r="C266" s="4">
        <v>108.14</v>
      </c>
    </row>
    <row r="267" spans="1:3" x14ac:dyDescent="0.25">
      <c r="A267" s="3">
        <v>44559</v>
      </c>
      <c r="B267" s="4">
        <v>102.16</v>
      </c>
      <c r="C267" s="4">
        <v>108.16</v>
      </c>
    </row>
    <row r="268" spans="1:3" x14ac:dyDescent="0.25">
      <c r="A268" s="3">
        <v>44560</v>
      </c>
      <c r="B268" s="4">
        <v>102.29</v>
      </c>
      <c r="C268" s="4">
        <v>108.29</v>
      </c>
    </row>
    <row r="269" spans="1:3" x14ac:dyDescent="0.25">
      <c r="A269" s="3">
        <v>44561</v>
      </c>
      <c r="B269" s="4">
        <v>102.29</v>
      </c>
      <c r="C269" s="4">
        <v>108.29</v>
      </c>
    </row>
    <row r="270" spans="1:3" x14ac:dyDescent="0.25">
      <c r="A270" s="3">
        <v>44564</v>
      </c>
      <c r="B270" s="4">
        <v>102.48</v>
      </c>
      <c r="C270" s="4">
        <v>108.48</v>
      </c>
    </row>
    <row r="271" spans="1:3" x14ac:dyDescent="0.25">
      <c r="A271" s="3">
        <v>44565</v>
      </c>
      <c r="B271" s="4">
        <v>102.61</v>
      </c>
      <c r="C271" s="4">
        <v>108.61</v>
      </c>
    </row>
    <row r="272" spans="1:3" x14ac:dyDescent="0.25">
      <c r="A272" s="3">
        <v>44566</v>
      </c>
      <c r="B272" s="4">
        <v>102.63</v>
      </c>
      <c r="C272" s="4">
        <v>108.63</v>
      </c>
    </row>
    <row r="273" spans="1:3" x14ac:dyDescent="0.25">
      <c r="A273" s="3">
        <v>44567</v>
      </c>
      <c r="B273" s="4">
        <v>102.72</v>
      </c>
      <c r="C273" s="4">
        <v>108.72</v>
      </c>
    </row>
    <row r="274" spans="1:3" x14ac:dyDescent="0.25">
      <c r="A274" s="3">
        <v>44568</v>
      </c>
      <c r="B274" s="4">
        <v>102.86</v>
      </c>
      <c r="C274" s="4">
        <v>108.86</v>
      </c>
    </row>
    <row r="275" spans="1:3" x14ac:dyDescent="0.25">
      <c r="A275" s="3">
        <v>44571</v>
      </c>
      <c r="B275" s="4">
        <v>102.96</v>
      </c>
      <c r="C275" s="4">
        <v>108.96</v>
      </c>
    </row>
    <row r="276" spans="1:3" x14ac:dyDescent="0.25">
      <c r="A276" s="3">
        <v>44572</v>
      </c>
      <c r="B276" s="4">
        <v>102.97</v>
      </c>
      <c r="C276" s="4">
        <v>108.97</v>
      </c>
    </row>
    <row r="277" spans="1:3" x14ac:dyDescent="0.25">
      <c r="A277" s="3">
        <v>44573</v>
      </c>
      <c r="B277" s="4">
        <v>103.05</v>
      </c>
      <c r="C277" s="4">
        <v>109.05</v>
      </c>
    </row>
    <row r="278" spans="1:3" x14ac:dyDescent="0.25">
      <c r="A278" s="3">
        <v>44574</v>
      </c>
      <c r="B278" s="4">
        <v>103.11</v>
      </c>
      <c r="C278" s="4">
        <v>109.11</v>
      </c>
    </row>
    <row r="279" spans="1:3" x14ac:dyDescent="0.25">
      <c r="A279" s="3">
        <v>44575</v>
      </c>
      <c r="B279" s="4">
        <v>103.21</v>
      </c>
      <c r="C279" s="4">
        <v>109.21</v>
      </c>
    </row>
    <row r="280" spans="1:3" x14ac:dyDescent="0.25">
      <c r="A280" s="3">
        <v>44578</v>
      </c>
      <c r="B280" s="4">
        <v>103.46</v>
      </c>
      <c r="C280" s="4">
        <v>109.46</v>
      </c>
    </row>
    <row r="281" spans="1:3" x14ac:dyDescent="0.25">
      <c r="A281" s="3">
        <v>44579</v>
      </c>
      <c r="B281" s="4">
        <v>103.64</v>
      </c>
      <c r="C281" s="4">
        <v>109.64</v>
      </c>
    </row>
    <row r="282" spans="1:3" x14ac:dyDescent="0.25">
      <c r="A282" s="3">
        <v>44580</v>
      </c>
      <c r="B282" s="4">
        <v>103.67</v>
      </c>
      <c r="C282" s="4">
        <v>109.67</v>
      </c>
    </row>
    <row r="283" spans="1:3" x14ac:dyDescent="0.25">
      <c r="A283" s="3">
        <v>44581</v>
      </c>
      <c r="B283" s="4">
        <v>103.71</v>
      </c>
      <c r="C283" s="4">
        <v>109.71</v>
      </c>
    </row>
    <row r="284" spans="1:3" x14ac:dyDescent="0.25">
      <c r="A284" s="3">
        <v>44582</v>
      </c>
      <c r="B284" s="4">
        <v>103.79</v>
      </c>
      <c r="C284" s="4">
        <v>109.79</v>
      </c>
    </row>
    <row r="285" spans="1:3" x14ac:dyDescent="0.25">
      <c r="A285" s="3">
        <v>44585</v>
      </c>
      <c r="B285" s="4">
        <v>104.08</v>
      </c>
      <c r="C285" s="4">
        <v>110.08</v>
      </c>
    </row>
    <row r="286" spans="1:3" x14ac:dyDescent="0.25">
      <c r="A286" s="3">
        <v>44586</v>
      </c>
      <c r="B286" s="4">
        <v>104.11</v>
      </c>
      <c r="C286" s="4">
        <v>110.11</v>
      </c>
    </row>
    <row r="287" spans="1:3" x14ac:dyDescent="0.25">
      <c r="A287" s="3">
        <v>44587</v>
      </c>
      <c r="B287" s="4">
        <v>104.15</v>
      </c>
      <c r="C287" s="4">
        <v>110.15</v>
      </c>
    </row>
    <row r="288" spans="1:3" x14ac:dyDescent="0.25">
      <c r="A288" s="3">
        <v>44588</v>
      </c>
      <c r="B288" s="4">
        <v>104.5</v>
      </c>
      <c r="C288" s="4">
        <v>110.5</v>
      </c>
    </row>
    <row r="289" spans="1:3" x14ac:dyDescent="0.25">
      <c r="A289" s="3">
        <v>44589</v>
      </c>
      <c r="B289" s="4">
        <v>104.68</v>
      </c>
      <c r="C289" s="4">
        <v>110.68</v>
      </c>
    </row>
    <row r="290" spans="1:3" x14ac:dyDescent="0.25">
      <c r="A290" s="3">
        <v>44590</v>
      </c>
      <c r="B290" s="4">
        <v>104.68</v>
      </c>
      <c r="C290" s="4">
        <v>110.68</v>
      </c>
    </row>
    <row r="291" spans="1:3" x14ac:dyDescent="0.25">
      <c r="A291" s="3">
        <v>44592</v>
      </c>
      <c r="B291" s="4">
        <v>104.71</v>
      </c>
      <c r="C291" s="4">
        <v>110.71</v>
      </c>
    </row>
    <row r="292" spans="1:3" x14ac:dyDescent="0.25">
      <c r="A292" s="3">
        <v>44593</v>
      </c>
      <c r="B292" s="4">
        <v>104.91</v>
      </c>
      <c r="C292" s="4">
        <v>110.91</v>
      </c>
    </row>
    <row r="293" spans="1:3" x14ac:dyDescent="0.25">
      <c r="A293" s="3">
        <v>44594</v>
      </c>
      <c r="B293" s="4">
        <v>104.92</v>
      </c>
      <c r="C293" s="4">
        <v>110.92</v>
      </c>
    </row>
    <row r="294" spans="1:3" x14ac:dyDescent="0.25">
      <c r="A294" s="3">
        <v>44595</v>
      </c>
      <c r="B294" s="4">
        <v>104.92</v>
      </c>
      <c r="C294" s="4">
        <v>110.92</v>
      </c>
    </row>
    <row r="295" spans="1:3" x14ac:dyDescent="0.25">
      <c r="A295" s="3">
        <v>44596</v>
      </c>
      <c r="B295" s="4">
        <v>105.37</v>
      </c>
      <c r="C295" s="4">
        <v>111.37</v>
      </c>
    </row>
    <row r="296" spans="1:3" x14ac:dyDescent="0.25">
      <c r="A296" s="3">
        <v>44599</v>
      </c>
      <c r="B296" s="4">
        <v>105.46</v>
      </c>
      <c r="C296" s="4">
        <v>111.46</v>
      </c>
    </row>
    <row r="297" spans="1:3" x14ac:dyDescent="0.25">
      <c r="A297" s="3">
        <v>44600</v>
      </c>
      <c r="B297" s="4">
        <v>105.49</v>
      </c>
      <c r="C297" s="4">
        <v>111.49</v>
      </c>
    </row>
    <row r="298" spans="1:3" x14ac:dyDescent="0.25">
      <c r="A298" s="3">
        <v>44601</v>
      </c>
      <c r="B298" s="4">
        <v>105.52</v>
      </c>
      <c r="C298" s="4">
        <v>111.52</v>
      </c>
    </row>
    <row r="299" spans="1:3" x14ac:dyDescent="0.25">
      <c r="A299" s="3">
        <v>44602</v>
      </c>
      <c r="B299" s="4">
        <v>105.61</v>
      </c>
      <c r="C299" s="4">
        <v>111.61</v>
      </c>
    </row>
    <row r="300" spans="1:3" x14ac:dyDescent="0.25">
      <c r="A300" s="3">
        <v>44603</v>
      </c>
      <c r="B300" s="4">
        <v>105.67</v>
      </c>
      <c r="C300" s="4">
        <v>111.67</v>
      </c>
    </row>
    <row r="301" spans="1:3" x14ac:dyDescent="0.25">
      <c r="A301" s="3">
        <v>44606</v>
      </c>
      <c r="B301" s="4">
        <v>106.01</v>
      </c>
      <c r="C301" s="4">
        <v>112.01</v>
      </c>
    </row>
    <row r="302" spans="1:3" x14ac:dyDescent="0.25">
      <c r="A302" s="3">
        <v>44607</v>
      </c>
      <c r="B302" s="4">
        <v>106.17</v>
      </c>
      <c r="C302" s="4">
        <v>112.17</v>
      </c>
    </row>
    <row r="303" spans="1:3" x14ac:dyDescent="0.25">
      <c r="A303" s="3">
        <v>44608</v>
      </c>
      <c r="B303" s="4">
        <v>106.21</v>
      </c>
      <c r="C303" s="4">
        <v>112.21</v>
      </c>
    </row>
    <row r="304" spans="1:3" x14ac:dyDescent="0.25">
      <c r="A304" s="3">
        <v>44609</v>
      </c>
      <c r="B304" s="4">
        <v>106.24</v>
      </c>
      <c r="C304" s="4">
        <v>112.24</v>
      </c>
    </row>
    <row r="305" spans="1:3" x14ac:dyDescent="0.25">
      <c r="A305" s="3">
        <v>44610</v>
      </c>
      <c r="B305" s="4">
        <v>106.48</v>
      </c>
      <c r="C305" s="4">
        <v>112.48</v>
      </c>
    </row>
    <row r="306" spans="1:3" x14ac:dyDescent="0.25">
      <c r="A306" s="3">
        <v>44613</v>
      </c>
      <c r="B306" s="4">
        <v>106.71</v>
      </c>
      <c r="C306" s="4">
        <v>112.71</v>
      </c>
    </row>
    <row r="307" spans="1:3" x14ac:dyDescent="0.25">
      <c r="A307" s="3">
        <v>44614</v>
      </c>
      <c r="B307" s="4">
        <v>106.8</v>
      </c>
      <c r="C307" s="4">
        <v>112.8</v>
      </c>
    </row>
    <row r="308" spans="1:3" x14ac:dyDescent="0.25">
      <c r="A308" s="3">
        <v>44615</v>
      </c>
      <c r="B308" s="4">
        <v>106.83</v>
      </c>
      <c r="C308" s="4">
        <v>112.83</v>
      </c>
    </row>
    <row r="309" spans="1:3" x14ac:dyDescent="0.25">
      <c r="A309" s="3">
        <v>44616</v>
      </c>
      <c r="B309" s="4">
        <v>106.89</v>
      </c>
      <c r="C309" s="4">
        <v>112.89</v>
      </c>
    </row>
    <row r="310" spans="1:3" x14ac:dyDescent="0.25">
      <c r="A310" s="3">
        <v>44617</v>
      </c>
      <c r="B310" s="4">
        <v>106.95</v>
      </c>
      <c r="C310" s="4">
        <v>112.95</v>
      </c>
    </row>
    <row r="311" spans="1:3" x14ac:dyDescent="0.25">
      <c r="A311" s="3">
        <v>44618</v>
      </c>
      <c r="B311" s="4">
        <v>106.95</v>
      </c>
      <c r="C311" s="4">
        <v>112.95</v>
      </c>
    </row>
    <row r="312" spans="1:3" x14ac:dyDescent="0.25">
      <c r="A312" s="3">
        <v>44619</v>
      </c>
      <c r="B312" s="4">
        <v>106.95</v>
      </c>
      <c r="C312" s="4">
        <v>112.95</v>
      </c>
    </row>
    <row r="313" spans="1:3" x14ac:dyDescent="0.25">
      <c r="A313" s="3">
        <v>44620</v>
      </c>
      <c r="B313" s="4">
        <v>106.95</v>
      </c>
      <c r="C313" s="4">
        <v>112.95</v>
      </c>
    </row>
    <row r="314" spans="1:3" x14ac:dyDescent="0.25">
      <c r="A314" s="3">
        <v>44622</v>
      </c>
      <c r="B314" s="4">
        <v>107.33</v>
      </c>
      <c r="C314" s="4">
        <v>113.33</v>
      </c>
    </row>
    <row r="315" spans="1:3" x14ac:dyDescent="0.25">
      <c r="A315" s="3">
        <v>44623</v>
      </c>
      <c r="B315" s="4">
        <v>107.48</v>
      </c>
      <c r="C315" s="4">
        <v>113.48</v>
      </c>
    </row>
    <row r="316" spans="1:3" x14ac:dyDescent="0.25">
      <c r="A316" s="3">
        <v>44624</v>
      </c>
      <c r="B316" s="4">
        <v>107.69</v>
      </c>
      <c r="C316" s="4">
        <v>113.69</v>
      </c>
    </row>
    <row r="317" spans="1:3" x14ac:dyDescent="0.25">
      <c r="A317" s="3">
        <v>44627</v>
      </c>
      <c r="B317" s="4">
        <v>107.94</v>
      </c>
      <c r="C317" s="4">
        <v>113.94</v>
      </c>
    </row>
    <row r="318" spans="1:3" x14ac:dyDescent="0.25">
      <c r="A318" s="3">
        <v>44628</v>
      </c>
      <c r="B318" s="4">
        <v>108.06</v>
      </c>
      <c r="C318" s="4">
        <v>114.06</v>
      </c>
    </row>
    <row r="319" spans="1:3" x14ac:dyDescent="0.25">
      <c r="A319" s="3">
        <v>44629</v>
      </c>
      <c r="B319" s="4">
        <v>108.37</v>
      </c>
      <c r="C319" s="4">
        <v>114.37</v>
      </c>
    </row>
    <row r="320" spans="1:3" x14ac:dyDescent="0.25">
      <c r="A320" s="3">
        <v>44630</v>
      </c>
      <c r="B320" s="4">
        <v>108.38</v>
      </c>
      <c r="C320" s="4">
        <v>114.38</v>
      </c>
    </row>
    <row r="321" spans="1:3" x14ac:dyDescent="0.25">
      <c r="A321" s="3">
        <v>44631</v>
      </c>
      <c r="B321" s="4">
        <v>108.49</v>
      </c>
      <c r="C321" s="4">
        <v>114.49</v>
      </c>
    </row>
    <row r="322" spans="1:3" x14ac:dyDescent="0.25">
      <c r="A322" s="3">
        <v>44634</v>
      </c>
      <c r="B322" s="4">
        <v>108.72</v>
      </c>
      <c r="C322" s="4">
        <v>114.72</v>
      </c>
    </row>
    <row r="323" spans="1:3" x14ac:dyDescent="0.25">
      <c r="A323" s="3">
        <v>44635</v>
      </c>
      <c r="B323" s="4">
        <v>108.82</v>
      </c>
      <c r="C323" s="4">
        <v>114.82</v>
      </c>
    </row>
    <row r="324" spans="1:3" x14ac:dyDescent="0.25">
      <c r="A324" s="3">
        <v>44636</v>
      </c>
      <c r="B324" s="4">
        <v>108.88</v>
      </c>
      <c r="C324" s="4">
        <v>114.88</v>
      </c>
    </row>
    <row r="325" spans="1:3" x14ac:dyDescent="0.25">
      <c r="A325" s="3">
        <v>44637</v>
      </c>
      <c r="B325" s="4">
        <v>108.91</v>
      </c>
      <c r="C325" s="4">
        <v>114.91</v>
      </c>
    </row>
    <row r="326" spans="1:3" x14ac:dyDescent="0.25">
      <c r="A326" s="3">
        <v>44638</v>
      </c>
      <c r="B326" s="4">
        <v>108.93</v>
      </c>
      <c r="C326" s="4">
        <v>114.93</v>
      </c>
    </row>
    <row r="327" spans="1:3" x14ac:dyDescent="0.25">
      <c r="A327" s="3">
        <v>44641</v>
      </c>
      <c r="B327" s="4">
        <v>109.35</v>
      </c>
      <c r="C327" s="4">
        <v>115.35</v>
      </c>
    </row>
    <row r="328" spans="1:3" x14ac:dyDescent="0.25">
      <c r="A328" s="3">
        <v>44642</v>
      </c>
      <c r="B328" s="4">
        <v>109.42</v>
      </c>
      <c r="C328" s="4">
        <v>115.42</v>
      </c>
    </row>
    <row r="329" spans="1:3" x14ac:dyDescent="0.25">
      <c r="A329" s="3">
        <v>44643</v>
      </c>
      <c r="B329" s="4">
        <v>109.61</v>
      </c>
      <c r="C329" s="4">
        <v>115.61</v>
      </c>
    </row>
    <row r="330" spans="1:3" x14ac:dyDescent="0.25">
      <c r="A330" s="3">
        <v>44645</v>
      </c>
      <c r="B330" s="4">
        <v>109.69</v>
      </c>
      <c r="C330" s="4">
        <v>115.69</v>
      </c>
    </row>
    <row r="331" spans="1:3" x14ac:dyDescent="0.25">
      <c r="A331" s="3">
        <v>44648</v>
      </c>
      <c r="B331" s="4">
        <v>110.19</v>
      </c>
      <c r="C331" s="4">
        <v>116.19</v>
      </c>
    </row>
    <row r="332" spans="1:3" x14ac:dyDescent="0.25">
      <c r="A332" s="3">
        <v>44649</v>
      </c>
      <c r="B332" s="4">
        <v>110.21</v>
      </c>
      <c r="C332" s="4">
        <v>116.21</v>
      </c>
    </row>
    <row r="333" spans="1:3" x14ac:dyDescent="0.25">
      <c r="A333" s="3">
        <v>44650</v>
      </c>
      <c r="B333" s="4">
        <v>110.31</v>
      </c>
      <c r="C333" s="4">
        <v>116.31</v>
      </c>
    </row>
    <row r="334" spans="1:3" x14ac:dyDescent="0.25">
      <c r="A334" s="3">
        <v>44651</v>
      </c>
      <c r="B334" s="4">
        <v>110.45</v>
      </c>
      <c r="C334" s="4">
        <v>116.45</v>
      </c>
    </row>
    <row r="335" spans="1:3" x14ac:dyDescent="0.25">
      <c r="A335" s="3">
        <v>44652</v>
      </c>
      <c r="B335" s="4">
        <v>110.64</v>
      </c>
      <c r="C335" s="4">
        <v>116.64</v>
      </c>
    </row>
    <row r="336" spans="1:3" x14ac:dyDescent="0.25">
      <c r="A336" s="3">
        <v>44655</v>
      </c>
      <c r="B336" s="4">
        <v>111.02</v>
      </c>
      <c r="C336" s="4">
        <v>117.02</v>
      </c>
    </row>
    <row r="337" spans="1:3" x14ac:dyDescent="0.25">
      <c r="A337" s="3">
        <v>44656</v>
      </c>
      <c r="B337" s="4">
        <v>111.1</v>
      </c>
      <c r="C337" s="4">
        <v>117.1</v>
      </c>
    </row>
    <row r="338" spans="1:3" x14ac:dyDescent="0.25">
      <c r="A338" s="3">
        <v>44657</v>
      </c>
      <c r="B338" s="4">
        <v>111.33</v>
      </c>
      <c r="C338" s="4">
        <v>117.33</v>
      </c>
    </row>
    <row r="339" spans="1:3" x14ac:dyDescent="0.25">
      <c r="A339" s="3">
        <v>44658</v>
      </c>
      <c r="B339" s="4">
        <v>111.65</v>
      </c>
      <c r="C339" s="4">
        <v>117.65</v>
      </c>
    </row>
    <row r="340" spans="1:3" x14ac:dyDescent="0.25">
      <c r="A340" s="3">
        <v>44659</v>
      </c>
      <c r="B340" s="4">
        <v>111.69</v>
      </c>
      <c r="C340" s="4">
        <v>117.69</v>
      </c>
    </row>
    <row r="341" spans="1:3" x14ac:dyDescent="0.25">
      <c r="A341" s="3">
        <v>44662</v>
      </c>
      <c r="B341" s="4">
        <v>112.02</v>
      </c>
      <c r="C341" s="4">
        <v>118.02</v>
      </c>
    </row>
    <row r="342" spans="1:3" x14ac:dyDescent="0.25">
      <c r="A342" s="3">
        <v>44663</v>
      </c>
      <c r="B342" s="4">
        <v>112.1</v>
      </c>
      <c r="C342" s="4">
        <v>118.1</v>
      </c>
    </row>
    <row r="343" spans="1:3" x14ac:dyDescent="0.25">
      <c r="A343" s="3">
        <v>44664</v>
      </c>
      <c r="B343" s="4">
        <v>112.39</v>
      </c>
      <c r="C343" s="4">
        <v>118.39</v>
      </c>
    </row>
    <row r="344" spans="1:3" x14ac:dyDescent="0.25">
      <c r="A344" s="3">
        <v>44669</v>
      </c>
      <c r="B344" s="4">
        <v>112.88</v>
      </c>
      <c r="C344" s="4">
        <v>118.88</v>
      </c>
    </row>
    <row r="345" spans="1:3" x14ac:dyDescent="0.25">
      <c r="A345" s="3">
        <v>44670</v>
      </c>
      <c r="B345" s="4">
        <v>113.03</v>
      </c>
      <c r="C345" s="4">
        <v>119.03</v>
      </c>
    </row>
    <row r="346" spans="1:3" x14ac:dyDescent="0.25">
      <c r="A346" s="3">
        <v>44671</v>
      </c>
      <c r="B346" s="4">
        <v>113.16</v>
      </c>
      <c r="C346" s="4">
        <v>119.16</v>
      </c>
    </row>
    <row r="347" spans="1:3" x14ac:dyDescent="0.25">
      <c r="A347" s="3">
        <v>44672</v>
      </c>
      <c r="B347" s="4">
        <v>113.58</v>
      </c>
      <c r="C347" s="4">
        <v>119.58</v>
      </c>
    </row>
    <row r="348" spans="1:3" x14ac:dyDescent="0.25">
      <c r="A348" s="3">
        <v>44673</v>
      </c>
      <c r="B348" s="4">
        <v>113.69</v>
      </c>
      <c r="C348" s="4">
        <v>119.69</v>
      </c>
    </row>
    <row r="349" spans="1:3" x14ac:dyDescent="0.25">
      <c r="A349" s="3">
        <v>44676</v>
      </c>
      <c r="B349" s="4">
        <v>113.78</v>
      </c>
      <c r="C349" s="4">
        <v>119.78</v>
      </c>
    </row>
    <row r="350" spans="1:3" x14ac:dyDescent="0.25">
      <c r="A350" s="3">
        <v>44677</v>
      </c>
      <c r="B350" s="4">
        <v>114.1</v>
      </c>
      <c r="C350" s="4">
        <v>120.1</v>
      </c>
    </row>
    <row r="351" spans="1:3" x14ac:dyDescent="0.25">
      <c r="A351" s="3">
        <v>44678</v>
      </c>
      <c r="B351" s="4">
        <v>114.13</v>
      </c>
      <c r="C351" s="4">
        <v>120.13</v>
      </c>
    </row>
    <row r="352" spans="1:3" x14ac:dyDescent="0.25">
      <c r="A352" s="3">
        <v>44679</v>
      </c>
      <c r="B352" s="4">
        <v>114.29</v>
      </c>
      <c r="C352" s="4">
        <v>120.29</v>
      </c>
    </row>
    <row r="353" spans="1:3" x14ac:dyDescent="0.25">
      <c r="A353" s="3">
        <v>44680</v>
      </c>
      <c r="B353" s="4">
        <v>114.64</v>
      </c>
      <c r="C353" s="4">
        <v>120.64</v>
      </c>
    </row>
    <row r="354" spans="1:3" x14ac:dyDescent="0.25">
      <c r="A354" s="3">
        <v>44681</v>
      </c>
      <c r="B354" s="4">
        <v>114.64</v>
      </c>
      <c r="C354" s="4">
        <v>120.64</v>
      </c>
    </row>
    <row r="355" spans="1:3" x14ac:dyDescent="0.25">
      <c r="A355" s="3">
        <v>44683</v>
      </c>
      <c r="B355" s="4">
        <v>114.97</v>
      </c>
      <c r="C355" s="4">
        <v>120.97</v>
      </c>
    </row>
    <row r="356" spans="1:3" x14ac:dyDescent="0.25">
      <c r="A356" s="3">
        <v>44684</v>
      </c>
      <c r="B356" s="4">
        <v>115.33</v>
      </c>
      <c r="C356" s="4">
        <v>121.33</v>
      </c>
    </row>
    <row r="357" spans="1:3" x14ac:dyDescent="0.25">
      <c r="A357" s="3">
        <v>44685</v>
      </c>
      <c r="B357" s="4">
        <v>115.45</v>
      </c>
      <c r="C357" s="4">
        <v>121.45</v>
      </c>
    </row>
    <row r="358" spans="1:3" x14ac:dyDescent="0.25">
      <c r="A358" s="3">
        <v>44686</v>
      </c>
      <c r="B358" s="4">
        <v>115.73</v>
      </c>
      <c r="C358" s="4">
        <v>121.73</v>
      </c>
    </row>
    <row r="359" spans="1:3" x14ac:dyDescent="0.25">
      <c r="A359" s="3">
        <v>44687</v>
      </c>
      <c r="B359" s="4">
        <v>115.97</v>
      </c>
      <c r="C359" s="4">
        <v>121.97</v>
      </c>
    </row>
    <row r="360" spans="1:3" x14ac:dyDescent="0.25">
      <c r="A360" s="3">
        <v>44690</v>
      </c>
      <c r="B360" s="4">
        <v>116.16</v>
      </c>
      <c r="C360" s="4">
        <v>122.16</v>
      </c>
    </row>
    <row r="361" spans="1:3" x14ac:dyDescent="0.25">
      <c r="A361" s="3">
        <v>44691</v>
      </c>
      <c r="B361" s="4">
        <v>116.32</v>
      </c>
      <c r="C361" s="4">
        <v>122.32</v>
      </c>
    </row>
    <row r="362" spans="1:3" x14ac:dyDescent="0.25">
      <c r="A362" s="3">
        <v>44692</v>
      </c>
      <c r="B362" s="4">
        <v>116.5</v>
      </c>
      <c r="C362" s="4">
        <v>122.5</v>
      </c>
    </row>
    <row r="363" spans="1:3" x14ac:dyDescent="0.25">
      <c r="A363" s="3">
        <v>44693</v>
      </c>
      <c r="B363" s="4">
        <v>116.7</v>
      </c>
      <c r="C363" s="4">
        <v>122.7</v>
      </c>
    </row>
    <row r="364" spans="1:3" x14ac:dyDescent="0.25">
      <c r="A364" s="3">
        <v>44694</v>
      </c>
      <c r="B364" s="4">
        <v>117.11</v>
      </c>
      <c r="C364" s="4">
        <v>123.11</v>
      </c>
    </row>
    <row r="365" spans="1:3" x14ac:dyDescent="0.25">
      <c r="A365" s="3">
        <v>44697</v>
      </c>
      <c r="B365" s="4">
        <v>117.27</v>
      </c>
      <c r="C365" s="4">
        <v>123.27</v>
      </c>
    </row>
    <row r="366" spans="1:3" x14ac:dyDescent="0.25">
      <c r="A366" s="3">
        <v>44698</v>
      </c>
      <c r="B366" s="4">
        <v>117.55</v>
      </c>
      <c r="C366" s="4">
        <v>123.55</v>
      </c>
    </row>
    <row r="367" spans="1:3" x14ac:dyDescent="0.25">
      <c r="A367" s="3">
        <v>44700</v>
      </c>
      <c r="B367" s="4">
        <v>117.77</v>
      </c>
      <c r="C367" s="4">
        <v>123.77</v>
      </c>
    </row>
    <row r="368" spans="1:3" x14ac:dyDescent="0.25">
      <c r="A368" s="3">
        <v>44701</v>
      </c>
      <c r="B368" s="4">
        <v>117.91</v>
      </c>
      <c r="C368" s="4">
        <v>123.91</v>
      </c>
    </row>
    <row r="369" spans="1:3" x14ac:dyDescent="0.25">
      <c r="A369" s="3">
        <v>44704</v>
      </c>
      <c r="B369" s="4">
        <v>118.33</v>
      </c>
      <c r="C369" s="4">
        <v>124.33</v>
      </c>
    </row>
    <row r="370" spans="1:3" x14ac:dyDescent="0.25">
      <c r="A370" s="3">
        <v>44705</v>
      </c>
      <c r="B370" s="4">
        <v>118.45</v>
      </c>
      <c r="C370" s="4">
        <v>124.45</v>
      </c>
    </row>
    <row r="371" spans="1:3" x14ac:dyDescent="0.25">
      <c r="A371" s="3">
        <v>44707</v>
      </c>
      <c r="B371" s="4">
        <v>118.62</v>
      </c>
      <c r="C371" s="4">
        <v>124.62</v>
      </c>
    </row>
    <row r="372" spans="1:3" x14ac:dyDescent="0.25">
      <c r="A372" s="3">
        <v>44708</v>
      </c>
      <c r="B372" s="4">
        <v>118.81</v>
      </c>
      <c r="C372" s="4">
        <v>124.81</v>
      </c>
    </row>
    <row r="373" spans="1:3" x14ac:dyDescent="0.25">
      <c r="A373" s="3">
        <v>44711</v>
      </c>
      <c r="B373" s="4">
        <v>118.81</v>
      </c>
      <c r="C373" s="4">
        <v>124.81</v>
      </c>
    </row>
    <row r="374" spans="1:3" x14ac:dyDescent="0.25">
      <c r="A374" s="3">
        <v>44712</v>
      </c>
      <c r="B374" s="4">
        <v>119.62</v>
      </c>
      <c r="C374" s="4">
        <v>125.62</v>
      </c>
    </row>
    <row r="375" spans="1:3" x14ac:dyDescent="0.25">
      <c r="A375" s="3">
        <v>44713</v>
      </c>
      <c r="B375" s="4">
        <v>119.88</v>
      </c>
      <c r="C375" s="4">
        <v>125.88</v>
      </c>
    </row>
    <row r="376" spans="1:3" x14ac:dyDescent="0.25">
      <c r="A376" s="3">
        <v>44714</v>
      </c>
      <c r="B376" s="4">
        <v>119.95</v>
      </c>
      <c r="C376" s="4">
        <v>125.95</v>
      </c>
    </row>
    <row r="377" spans="1:3" x14ac:dyDescent="0.25">
      <c r="A377" s="3">
        <v>44715</v>
      </c>
      <c r="B377" s="4">
        <v>120.41</v>
      </c>
      <c r="C377" s="4">
        <v>126.41</v>
      </c>
    </row>
    <row r="378" spans="1:3" x14ac:dyDescent="0.25">
      <c r="A378" s="3">
        <v>44718</v>
      </c>
      <c r="B378" s="4">
        <v>120.6</v>
      </c>
      <c r="C378" s="4">
        <v>126.6</v>
      </c>
    </row>
    <row r="379" spans="1:3" x14ac:dyDescent="0.25">
      <c r="A379" s="3">
        <v>44719</v>
      </c>
      <c r="B379" s="4">
        <v>120.65</v>
      </c>
      <c r="C379" s="4">
        <v>126.65</v>
      </c>
    </row>
    <row r="380" spans="1:3" x14ac:dyDescent="0.25">
      <c r="A380" s="3">
        <v>44720</v>
      </c>
      <c r="B380" s="4">
        <v>120.77</v>
      </c>
      <c r="C380" s="4">
        <v>126.77</v>
      </c>
    </row>
    <row r="381" spans="1:3" x14ac:dyDescent="0.25">
      <c r="A381" s="3">
        <v>44721</v>
      </c>
      <c r="B381" s="4">
        <v>121</v>
      </c>
      <c r="C381" s="4">
        <v>127</v>
      </c>
    </row>
    <row r="382" spans="1:3" x14ac:dyDescent="0.25">
      <c r="A382" s="3">
        <v>44722</v>
      </c>
      <c r="B382" s="4">
        <v>121.1</v>
      </c>
      <c r="C382" s="4">
        <v>127.1</v>
      </c>
    </row>
    <row r="383" spans="1:3" x14ac:dyDescent="0.25">
      <c r="A383" s="3">
        <v>44725</v>
      </c>
      <c r="B383" s="4">
        <v>121.6</v>
      </c>
      <c r="C383" s="4">
        <v>127.6</v>
      </c>
    </row>
    <row r="384" spans="1:3" x14ac:dyDescent="0.25">
      <c r="A384" s="3">
        <v>44726</v>
      </c>
      <c r="B384" s="4">
        <v>121.62</v>
      </c>
      <c r="C384" s="4">
        <v>127.62</v>
      </c>
    </row>
    <row r="385" spans="1:3" x14ac:dyDescent="0.25">
      <c r="A385" s="3">
        <v>44727</v>
      </c>
      <c r="B385" s="4">
        <v>122.03</v>
      </c>
      <c r="C385" s="4">
        <v>128.03</v>
      </c>
    </row>
    <row r="386" spans="1:3" x14ac:dyDescent="0.25">
      <c r="A386" s="3">
        <v>44728</v>
      </c>
      <c r="B386" s="4">
        <v>122.19</v>
      </c>
      <c r="C386" s="4">
        <v>128.19</v>
      </c>
    </row>
    <row r="387" spans="1:3" x14ac:dyDescent="0.25">
      <c r="A387" s="3">
        <v>44733</v>
      </c>
      <c r="B387" s="4">
        <v>122.99</v>
      </c>
      <c r="C387" s="4">
        <v>128.99</v>
      </c>
    </row>
    <row r="388" spans="1:3" x14ac:dyDescent="0.25">
      <c r="A388" s="3">
        <v>44734</v>
      </c>
      <c r="B388" s="4">
        <v>123.01</v>
      </c>
      <c r="C388" s="4">
        <v>129.01</v>
      </c>
    </row>
    <row r="389" spans="1:3" x14ac:dyDescent="0.25">
      <c r="A389" s="3">
        <v>44735</v>
      </c>
      <c r="B389" s="4">
        <v>123.11</v>
      </c>
      <c r="C389" s="4">
        <v>129.11000000000001</v>
      </c>
    </row>
    <row r="390" spans="1:3" x14ac:dyDescent="0.25">
      <c r="A390" s="3">
        <v>44736</v>
      </c>
      <c r="B390" s="4">
        <v>123.15</v>
      </c>
      <c r="C390" s="4">
        <v>129.15</v>
      </c>
    </row>
    <row r="391" spans="1:3" x14ac:dyDescent="0.25">
      <c r="A391" s="3">
        <v>44739</v>
      </c>
      <c r="B391" s="4">
        <v>124.07</v>
      </c>
      <c r="C391" s="4">
        <v>130.07</v>
      </c>
    </row>
    <row r="392" spans="1:3" x14ac:dyDescent="0.25">
      <c r="A392" s="3">
        <v>44740</v>
      </c>
      <c r="B392" s="4">
        <v>124.14</v>
      </c>
      <c r="C392" s="4">
        <v>130.13999999999999</v>
      </c>
    </row>
    <row r="393" spans="1:3" x14ac:dyDescent="0.25">
      <c r="A393" s="3">
        <v>44741</v>
      </c>
      <c r="B393" s="4">
        <v>123.99</v>
      </c>
      <c r="C393" s="4">
        <v>129.99</v>
      </c>
    </row>
    <row r="394" spans="1:3" x14ac:dyDescent="0.25">
      <c r="A394" s="3">
        <v>44742</v>
      </c>
      <c r="B394" s="4">
        <v>124.44</v>
      </c>
      <c r="C394" s="4">
        <v>130.44</v>
      </c>
    </row>
    <row r="395" spans="1:3" x14ac:dyDescent="0.25">
      <c r="A395" s="3">
        <v>44743</v>
      </c>
      <c r="B395" s="4">
        <v>124.69</v>
      </c>
      <c r="C395" s="4">
        <v>130.69</v>
      </c>
    </row>
    <row r="396" spans="1:3" x14ac:dyDescent="0.25">
      <c r="A396" s="3">
        <v>44746</v>
      </c>
      <c r="B396" s="4">
        <v>126.07</v>
      </c>
      <c r="C396" s="4">
        <v>132.07</v>
      </c>
    </row>
    <row r="397" spans="1:3" x14ac:dyDescent="0.25">
      <c r="A397" s="3">
        <v>44747</v>
      </c>
      <c r="B397" s="4">
        <v>126.54</v>
      </c>
      <c r="C397" s="4">
        <v>132.54</v>
      </c>
    </row>
    <row r="398" spans="1:3" x14ac:dyDescent="0.25">
      <c r="A398" s="3">
        <v>44748</v>
      </c>
      <c r="B398" s="4">
        <v>126.85</v>
      </c>
      <c r="C398" s="4">
        <v>132.85</v>
      </c>
    </row>
    <row r="399" spans="1:3" x14ac:dyDescent="0.25">
      <c r="A399" s="3">
        <v>44749</v>
      </c>
      <c r="B399" s="4">
        <v>127.27</v>
      </c>
      <c r="C399" s="4">
        <v>133.27000000000001</v>
      </c>
    </row>
    <row r="400" spans="1:3" x14ac:dyDescent="0.25">
      <c r="A400" s="3">
        <v>44750</v>
      </c>
      <c r="B400" s="4">
        <v>127.89</v>
      </c>
      <c r="C400" s="4">
        <v>133.88999999999999</v>
      </c>
    </row>
    <row r="401" spans="1:3" x14ac:dyDescent="0.25">
      <c r="A401" s="3">
        <v>44753</v>
      </c>
      <c r="B401" s="4">
        <v>128.66999999999999</v>
      </c>
      <c r="C401" s="4">
        <v>134.66999999999999</v>
      </c>
    </row>
    <row r="402" spans="1:3" x14ac:dyDescent="0.25">
      <c r="A402" s="3">
        <v>44754</v>
      </c>
      <c r="B402" s="4">
        <v>128.88</v>
      </c>
      <c r="C402" s="4">
        <v>134.88</v>
      </c>
    </row>
    <row r="403" spans="1:3" x14ac:dyDescent="0.25">
      <c r="A403" s="3">
        <v>44755</v>
      </c>
      <c r="B403" s="4">
        <v>129.15</v>
      </c>
      <c r="C403" s="4">
        <v>135.15</v>
      </c>
    </row>
    <row r="404" spans="1:3" x14ac:dyDescent="0.25">
      <c r="A404" s="3">
        <v>44756</v>
      </c>
      <c r="B404" s="4">
        <v>129.21</v>
      </c>
      <c r="C404" s="4">
        <v>135.21</v>
      </c>
    </row>
    <row r="405" spans="1:3" x14ac:dyDescent="0.25">
      <c r="A405" s="3">
        <v>44757</v>
      </c>
      <c r="B405" s="4">
        <v>129.29</v>
      </c>
      <c r="C405" s="4">
        <v>135.29</v>
      </c>
    </row>
    <row r="406" spans="1:3" x14ac:dyDescent="0.25">
      <c r="A406" s="3">
        <v>44760</v>
      </c>
      <c r="B406" s="4">
        <v>129.79</v>
      </c>
      <c r="C406" s="4">
        <v>135.79</v>
      </c>
    </row>
    <row r="407" spans="1:3" x14ac:dyDescent="0.25">
      <c r="A407" s="3">
        <v>44761</v>
      </c>
      <c r="B407" s="4">
        <v>130.08000000000001</v>
      </c>
      <c r="C407" s="4">
        <v>136.08000000000001</v>
      </c>
    </row>
    <row r="408" spans="1:3" x14ac:dyDescent="0.25">
      <c r="A408" s="3">
        <v>44762</v>
      </c>
      <c r="B408" s="4">
        <v>130.1</v>
      </c>
      <c r="C408" s="4">
        <v>136.1</v>
      </c>
    </row>
    <row r="409" spans="1:3" x14ac:dyDescent="0.25">
      <c r="A409" s="3">
        <v>44763</v>
      </c>
      <c r="B409" s="4">
        <v>130.32</v>
      </c>
      <c r="C409" s="4">
        <v>136.32</v>
      </c>
    </row>
    <row r="410" spans="1:3" x14ac:dyDescent="0.25">
      <c r="A410" s="3">
        <v>44764</v>
      </c>
      <c r="B410" s="4">
        <v>130.61000000000001</v>
      </c>
      <c r="C410" s="4">
        <v>136.61000000000001</v>
      </c>
    </row>
    <row r="411" spans="1:3" x14ac:dyDescent="0.25">
      <c r="A411" s="3">
        <v>44767</v>
      </c>
      <c r="B411" s="4">
        <v>131.30000000000001</v>
      </c>
      <c r="C411" s="4">
        <v>137.30000000000001</v>
      </c>
    </row>
    <row r="412" spans="1:3" x14ac:dyDescent="0.25">
      <c r="A412" s="3">
        <v>44768</v>
      </c>
      <c r="B412" s="4">
        <v>131.38</v>
      </c>
      <c r="C412" s="4">
        <v>137.38</v>
      </c>
    </row>
    <row r="413" spans="1:3" x14ac:dyDescent="0.25">
      <c r="A413" s="3">
        <v>44769</v>
      </c>
      <c r="B413" s="4">
        <v>131.58000000000001</v>
      </c>
      <c r="C413" s="4">
        <v>137.58000000000001</v>
      </c>
    </row>
    <row r="414" spans="1:3" x14ac:dyDescent="0.25">
      <c r="A414" s="3">
        <v>44770</v>
      </c>
      <c r="B414" s="4">
        <v>131.86000000000001</v>
      </c>
      <c r="C414" s="4">
        <v>137.86000000000001</v>
      </c>
    </row>
    <row r="415" spans="1:3" x14ac:dyDescent="0.25">
      <c r="A415" s="3">
        <v>44771</v>
      </c>
      <c r="B415" s="4">
        <v>131.93</v>
      </c>
      <c r="C415" s="4">
        <v>137.93</v>
      </c>
    </row>
    <row r="416" spans="1:3" x14ac:dyDescent="0.25">
      <c r="A416" s="3">
        <v>44773</v>
      </c>
      <c r="B416" s="4">
        <v>132.9</v>
      </c>
      <c r="C416" s="4">
        <v>138.9</v>
      </c>
    </row>
    <row r="417" spans="1:3" x14ac:dyDescent="0.25">
      <c r="A417" s="3">
        <v>44774</v>
      </c>
      <c r="B417" s="4">
        <v>132.9</v>
      </c>
      <c r="C417" s="4">
        <v>138.9</v>
      </c>
    </row>
    <row r="418" spans="1:3" x14ac:dyDescent="0.25">
      <c r="A418" s="3">
        <v>44775</v>
      </c>
      <c r="B418" s="4">
        <v>133.07</v>
      </c>
      <c r="C418" s="4">
        <v>139.07</v>
      </c>
    </row>
    <row r="419" spans="1:3" x14ac:dyDescent="0.25">
      <c r="A419" s="3">
        <v>44776</v>
      </c>
      <c r="B419" s="4">
        <v>133.31</v>
      </c>
      <c r="C419" s="4">
        <v>139.31</v>
      </c>
    </row>
    <row r="420" spans="1:3" x14ac:dyDescent="0.25">
      <c r="A420" s="3">
        <v>44777</v>
      </c>
      <c r="B420" s="4">
        <v>133.86000000000001</v>
      </c>
      <c r="C420" s="4">
        <v>139.86000000000001</v>
      </c>
    </row>
    <row r="421" spans="1:3" x14ac:dyDescent="0.25">
      <c r="A421" s="3">
        <v>44778</v>
      </c>
      <c r="B421" s="4">
        <v>133.88999999999999</v>
      </c>
      <c r="C421" s="4">
        <v>139.88999999999999</v>
      </c>
    </row>
    <row r="422" spans="1:3" x14ac:dyDescent="0.25">
      <c r="A422" s="3">
        <v>44781</v>
      </c>
      <c r="B422" s="4">
        <v>134.49</v>
      </c>
      <c r="C422" s="4">
        <v>140.49</v>
      </c>
    </row>
    <row r="423" spans="1:3" x14ac:dyDescent="0.25">
      <c r="A423" s="3">
        <v>44782</v>
      </c>
      <c r="B423" s="4">
        <v>134.77000000000001</v>
      </c>
      <c r="C423" s="4">
        <v>140.77000000000001</v>
      </c>
    </row>
    <row r="424" spans="1:3" x14ac:dyDescent="0.25">
      <c r="A424" s="3">
        <v>44783</v>
      </c>
      <c r="B424" s="4">
        <v>134.77000000000001</v>
      </c>
      <c r="C424" s="4">
        <v>140.77000000000001</v>
      </c>
    </row>
    <row r="425" spans="1:3" x14ac:dyDescent="0.25">
      <c r="A425" s="3">
        <v>44784</v>
      </c>
      <c r="B425" s="4">
        <v>134.97999999999999</v>
      </c>
      <c r="C425" s="4">
        <v>140.97999999999999</v>
      </c>
    </row>
    <row r="426" spans="1:3" x14ac:dyDescent="0.25">
      <c r="A426" s="3">
        <v>44785</v>
      </c>
      <c r="B426" s="4">
        <v>135.5</v>
      </c>
      <c r="C426" s="4">
        <v>141.5</v>
      </c>
    </row>
    <row r="427" spans="1:3" x14ac:dyDescent="0.25">
      <c r="A427" s="3">
        <v>44789</v>
      </c>
      <c r="B427" s="4">
        <v>136.41</v>
      </c>
      <c r="C427" s="4">
        <v>142.41</v>
      </c>
    </row>
    <row r="428" spans="1:3" x14ac:dyDescent="0.25">
      <c r="A428" s="3">
        <v>44790</v>
      </c>
      <c r="B428" s="4">
        <v>136.52000000000001</v>
      </c>
      <c r="C428" s="4">
        <v>142.52000000000001</v>
      </c>
    </row>
    <row r="429" spans="1:3" x14ac:dyDescent="0.25">
      <c r="A429" s="3">
        <v>44791</v>
      </c>
      <c r="B429" s="4">
        <v>136.38999999999999</v>
      </c>
      <c r="C429" s="4">
        <v>142.38999999999999</v>
      </c>
    </row>
    <row r="430" spans="1:3" x14ac:dyDescent="0.25">
      <c r="A430" s="3">
        <v>44792</v>
      </c>
      <c r="B430" s="4">
        <v>137.06</v>
      </c>
      <c r="C430" s="4">
        <v>143.06</v>
      </c>
    </row>
    <row r="431" spans="1:3" x14ac:dyDescent="0.25">
      <c r="A431" s="3">
        <v>44795</v>
      </c>
      <c r="B431" s="4">
        <v>138.04</v>
      </c>
      <c r="C431" s="4">
        <v>144.04</v>
      </c>
    </row>
    <row r="432" spans="1:3" x14ac:dyDescent="0.25">
      <c r="A432" s="3">
        <v>44796</v>
      </c>
      <c r="B432" s="4">
        <v>138.04</v>
      </c>
      <c r="C432" s="4">
        <v>144.04</v>
      </c>
    </row>
    <row r="433" spans="1:3" x14ac:dyDescent="0.25">
      <c r="A433" s="3">
        <v>44797</v>
      </c>
      <c r="B433" s="4">
        <v>138.29</v>
      </c>
      <c r="C433" s="4">
        <v>144.29</v>
      </c>
    </row>
    <row r="434" spans="1:3" x14ac:dyDescent="0.25">
      <c r="A434" s="3">
        <v>44798</v>
      </c>
      <c r="B434" s="4">
        <v>138.58000000000001</v>
      </c>
      <c r="C434" s="4">
        <v>144.58000000000001</v>
      </c>
    </row>
    <row r="435" spans="1:3" x14ac:dyDescent="0.25">
      <c r="A435" s="3">
        <v>44799</v>
      </c>
      <c r="B435" s="4">
        <v>138.72999999999999</v>
      </c>
      <c r="C435" s="4">
        <v>144.72999999999999</v>
      </c>
    </row>
    <row r="436" spans="1:3" x14ac:dyDescent="0.25">
      <c r="A436" s="3">
        <v>44802</v>
      </c>
      <c r="B436" s="4">
        <v>139.44999999999999</v>
      </c>
      <c r="C436" s="4">
        <v>145.44999999999999</v>
      </c>
    </row>
    <row r="437" spans="1:3" x14ac:dyDescent="0.25">
      <c r="A437" s="3">
        <v>44803</v>
      </c>
      <c r="B437" s="4">
        <v>139.62</v>
      </c>
      <c r="C437" s="4">
        <v>145.62</v>
      </c>
    </row>
    <row r="438" spans="1:3" x14ac:dyDescent="0.25">
      <c r="A438" s="3">
        <v>44804</v>
      </c>
      <c r="B438" s="4">
        <v>139.77000000000001</v>
      </c>
      <c r="C438" s="4">
        <v>145.77000000000001</v>
      </c>
    </row>
    <row r="439" spans="1:3" x14ac:dyDescent="0.25">
      <c r="A439" s="3">
        <v>44805</v>
      </c>
      <c r="B439" s="4">
        <v>139.86000000000001</v>
      </c>
      <c r="C439" s="4">
        <v>145.86000000000001</v>
      </c>
    </row>
    <row r="440" spans="1:3" x14ac:dyDescent="0.25">
      <c r="A440" s="3">
        <v>44809</v>
      </c>
      <c r="B440" s="4">
        <v>141.05000000000001</v>
      </c>
      <c r="C440" s="4">
        <v>147.05000000000001</v>
      </c>
    </row>
    <row r="441" spans="1:3" x14ac:dyDescent="0.25">
      <c r="A441" s="3">
        <v>44810</v>
      </c>
      <c r="B441" s="4">
        <v>141.35</v>
      </c>
      <c r="C441" s="4">
        <v>147.35</v>
      </c>
    </row>
    <row r="442" spans="1:3" x14ac:dyDescent="0.25">
      <c r="A442" s="3">
        <v>44811</v>
      </c>
      <c r="B442" s="4">
        <v>141.68</v>
      </c>
      <c r="C442" s="4">
        <v>147.68</v>
      </c>
    </row>
    <row r="443" spans="1:3" x14ac:dyDescent="0.25">
      <c r="A443" s="3">
        <v>44812</v>
      </c>
      <c r="B443" s="4">
        <v>142.15</v>
      </c>
      <c r="C443" s="4">
        <v>148.15</v>
      </c>
    </row>
    <row r="444" spans="1:3" x14ac:dyDescent="0.25">
      <c r="A444" s="3">
        <v>44813</v>
      </c>
      <c r="B444" s="4">
        <v>142.41999999999999</v>
      </c>
      <c r="C444" s="4">
        <v>148.41999999999999</v>
      </c>
    </row>
    <row r="445" spans="1:3" x14ac:dyDescent="0.25">
      <c r="A445" s="3">
        <v>44816</v>
      </c>
      <c r="B445" s="4">
        <v>143.43</v>
      </c>
      <c r="C445" s="4">
        <v>149.43</v>
      </c>
    </row>
    <row r="446" spans="1:3" x14ac:dyDescent="0.25">
      <c r="A446" s="3">
        <v>44817</v>
      </c>
      <c r="B446" s="4">
        <v>143.52000000000001</v>
      </c>
      <c r="C446" s="4">
        <v>149.52000000000001</v>
      </c>
    </row>
    <row r="447" spans="1:3" x14ac:dyDescent="0.25">
      <c r="A447" s="3">
        <v>44818</v>
      </c>
      <c r="B447" s="4">
        <v>143.61000000000001</v>
      </c>
      <c r="C447" s="4">
        <v>149.61000000000001</v>
      </c>
    </row>
    <row r="448" spans="1:3" x14ac:dyDescent="0.25">
      <c r="A448" s="3">
        <v>44819</v>
      </c>
      <c r="B448" s="4">
        <v>143.99</v>
      </c>
      <c r="C448" s="4">
        <v>149.99</v>
      </c>
    </row>
    <row r="449" spans="1:3" x14ac:dyDescent="0.25">
      <c r="A449" s="3">
        <v>44820</v>
      </c>
      <c r="B449" s="4">
        <v>142.16999999999999</v>
      </c>
      <c r="C449" s="4">
        <v>150.16999999999999</v>
      </c>
    </row>
    <row r="450" spans="1:3" x14ac:dyDescent="0.25">
      <c r="A450" s="3">
        <v>44823</v>
      </c>
      <c r="B450" s="4">
        <v>142.93</v>
      </c>
      <c r="C450" s="4">
        <v>150.93</v>
      </c>
    </row>
    <row r="451" spans="1:3" x14ac:dyDescent="0.25">
      <c r="A451" s="3">
        <v>44824</v>
      </c>
      <c r="B451" s="4">
        <v>143.24</v>
      </c>
      <c r="C451" s="4">
        <v>151.24</v>
      </c>
    </row>
    <row r="452" spans="1:3" x14ac:dyDescent="0.25">
      <c r="A452" s="3">
        <v>44825</v>
      </c>
      <c r="B452" s="4">
        <v>143.56</v>
      </c>
      <c r="C452" s="4">
        <v>151.56</v>
      </c>
    </row>
    <row r="453" spans="1:3" x14ac:dyDescent="0.25">
      <c r="A453" s="3">
        <v>44826</v>
      </c>
      <c r="B453" s="4">
        <v>143.63999999999999</v>
      </c>
      <c r="C453" s="4">
        <v>151.63999999999999</v>
      </c>
    </row>
    <row r="454" spans="1:3" x14ac:dyDescent="0.25">
      <c r="A454" s="3">
        <v>44827</v>
      </c>
      <c r="B454" s="4">
        <v>144.24</v>
      </c>
      <c r="C454" s="4">
        <v>152.24</v>
      </c>
    </row>
    <row r="455" spans="1:3" x14ac:dyDescent="0.25">
      <c r="A455" s="3">
        <v>44830</v>
      </c>
      <c r="B455" s="4">
        <v>145.01</v>
      </c>
      <c r="C455" s="4">
        <v>153.01</v>
      </c>
    </row>
    <row r="456" spans="1:3" x14ac:dyDescent="0.25">
      <c r="A456" s="3">
        <v>44831</v>
      </c>
      <c r="B456" s="4">
        <v>145.31</v>
      </c>
      <c r="C456" s="4">
        <v>153.31</v>
      </c>
    </row>
    <row r="457" spans="1:3" x14ac:dyDescent="0.25">
      <c r="A457" s="3">
        <v>44832</v>
      </c>
      <c r="B457" s="4">
        <v>145.61000000000001</v>
      </c>
      <c r="C457" s="4">
        <v>153.61000000000001</v>
      </c>
    </row>
    <row r="458" spans="1:3" x14ac:dyDescent="0.25">
      <c r="A458" s="3">
        <v>44833</v>
      </c>
      <c r="B458" s="4">
        <v>145.9</v>
      </c>
      <c r="C458" s="4">
        <v>153.9</v>
      </c>
    </row>
    <row r="459" spans="1:3" x14ac:dyDescent="0.25">
      <c r="A459" s="3">
        <v>44834</v>
      </c>
      <c r="B459" s="4">
        <v>146.25</v>
      </c>
      <c r="C459" s="4">
        <v>154.25</v>
      </c>
    </row>
    <row r="460" spans="1:3" x14ac:dyDescent="0.25">
      <c r="A460" s="3">
        <v>44837</v>
      </c>
      <c r="B460" s="4">
        <v>147.33000000000001</v>
      </c>
      <c r="C460" s="4">
        <v>155.33000000000001</v>
      </c>
    </row>
    <row r="461" spans="1:3" x14ac:dyDescent="0.25">
      <c r="A461" s="3">
        <v>44838</v>
      </c>
      <c r="B461" s="4">
        <v>147.66999999999999</v>
      </c>
      <c r="C461" s="4">
        <v>155.66999999999999</v>
      </c>
    </row>
    <row r="462" spans="1:3" x14ac:dyDescent="0.25">
      <c r="A462" s="3">
        <v>44839</v>
      </c>
      <c r="B462" s="4">
        <v>147.9</v>
      </c>
      <c r="C462" s="4">
        <v>155.9</v>
      </c>
    </row>
    <row r="463" spans="1:3" x14ac:dyDescent="0.25">
      <c r="A463" s="3">
        <v>44840</v>
      </c>
      <c r="B463" s="4">
        <v>148.29</v>
      </c>
      <c r="C463" s="4">
        <v>156.29</v>
      </c>
    </row>
    <row r="464" spans="1:3" x14ac:dyDescent="0.25">
      <c r="A464" s="3">
        <v>44845</v>
      </c>
      <c r="B464" s="4">
        <v>149.76</v>
      </c>
      <c r="C464" s="4">
        <v>157.76</v>
      </c>
    </row>
    <row r="465" spans="1:3" x14ac:dyDescent="0.25">
      <c r="A465" s="3">
        <v>44846</v>
      </c>
      <c r="B465" s="4">
        <v>149.96</v>
      </c>
      <c r="C465" s="4">
        <v>157.96</v>
      </c>
    </row>
    <row r="466" spans="1:3" x14ac:dyDescent="0.25">
      <c r="A466" s="3">
        <v>44847</v>
      </c>
      <c r="B466" s="4">
        <v>150.19</v>
      </c>
      <c r="C466" s="4">
        <v>158.19</v>
      </c>
    </row>
    <row r="467" spans="1:3" x14ac:dyDescent="0.25">
      <c r="A467" s="3">
        <v>44848</v>
      </c>
      <c r="B467" s="4">
        <v>150.28</v>
      </c>
      <c r="C467" s="4">
        <v>158.28</v>
      </c>
    </row>
    <row r="468" spans="1:3" x14ac:dyDescent="0.25">
      <c r="A468" s="3">
        <v>44851</v>
      </c>
      <c r="B468" s="4">
        <v>151.49</v>
      </c>
      <c r="C468" s="4">
        <v>159.49</v>
      </c>
    </row>
    <row r="469" spans="1:3" x14ac:dyDescent="0.25">
      <c r="A469" s="3">
        <v>44852</v>
      </c>
      <c r="B469" s="4">
        <v>151.71</v>
      </c>
      <c r="C469" s="4">
        <v>159.71</v>
      </c>
    </row>
    <row r="470" spans="1:3" x14ac:dyDescent="0.25">
      <c r="A470" s="3">
        <v>44853</v>
      </c>
      <c r="B470" s="4">
        <v>151.94</v>
      </c>
      <c r="C470" s="4">
        <v>159.94</v>
      </c>
    </row>
    <row r="471" spans="1:3" x14ac:dyDescent="0.25">
      <c r="A471" s="3">
        <v>44854</v>
      </c>
      <c r="B471" s="4">
        <v>152.27000000000001</v>
      </c>
      <c r="C471" s="4">
        <v>160.27000000000001</v>
      </c>
    </row>
    <row r="472" spans="1:3" x14ac:dyDescent="0.25">
      <c r="A472" s="3">
        <v>44855</v>
      </c>
      <c r="B472" s="4">
        <v>152.57</v>
      </c>
      <c r="C472" s="4">
        <v>160.57</v>
      </c>
    </row>
    <row r="473" spans="1:3" x14ac:dyDescent="0.25">
      <c r="A473" s="3">
        <v>44858</v>
      </c>
      <c r="B473" s="4">
        <v>153.56</v>
      </c>
      <c r="C473" s="4">
        <v>161.56</v>
      </c>
    </row>
    <row r="474" spans="1:3" x14ac:dyDescent="0.25">
      <c r="A474" s="3">
        <v>44859</v>
      </c>
      <c r="B474" s="4">
        <v>154.1</v>
      </c>
      <c r="C474" s="4">
        <v>162.1</v>
      </c>
    </row>
    <row r="475" spans="1:3" x14ac:dyDescent="0.25">
      <c r="A475" s="3">
        <v>44860</v>
      </c>
      <c r="B475" s="4">
        <v>154.22</v>
      </c>
      <c r="C475" s="4">
        <v>162.22</v>
      </c>
    </row>
    <row r="476" spans="1:3" x14ac:dyDescent="0.25">
      <c r="A476" s="3">
        <v>44861</v>
      </c>
      <c r="B476" s="4">
        <v>154.30000000000001</v>
      </c>
      <c r="C476" s="4">
        <v>162.30000000000001</v>
      </c>
    </row>
    <row r="477" spans="1:3" x14ac:dyDescent="0.25">
      <c r="A477" s="3">
        <v>44862</v>
      </c>
      <c r="B477" s="4">
        <v>154.59</v>
      </c>
      <c r="C477" s="4">
        <v>162.59</v>
      </c>
    </row>
    <row r="478" spans="1:3" x14ac:dyDescent="0.25">
      <c r="A478" s="3">
        <v>44865</v>
      </c>
      <c r="B478" s="4">
        <v>154.88999999999999</v>
      </c>
      <c r="C478" s="4">
        <v>163.89</v>
      </c>
    </row>
    <row r="479" spans="1:3" x14ac:dyDescent="0.25">
      <c r="A479" s="3">
        <v>44866</v>
      </c>
      <c r="B479" s="4">
        <v>156.26</v>
      </c>
      <c r="C479" s="4">
        <v>164.26</v>
      </c>
    </row>
    <row r="480" spans="1:3" x14ac:dyDescent="0.25">
      <c r="A480" s="3">
        <v>44867</v>
      </c>
      <c r="B480" s="4">
        <v>156.49</v>
      </c>
      <c r="C480" s="4">
        <v>164.49</v>
      </c>
    </row>
    <row r="481" spans="1:3" x14ac:dyDescent="0.25">
      <c r="A481" s="3">
        <v>44868</v>
      </c>
      <c r="B481" s="4">
        <v>156.82</v>
      </c>
      <c r="C481" s="4">
        <v>164.82</v>
      </c>
    </row>
    <row r="482" spans="1:3" x14ac:dyDescent="0.25">
      <c r="A482" s="3">
        <v>44869</v>
      </c>
      <c r="B482" s="4">
        <v>157.15</v>
      </c>
      <c r="C482" s="4">
        <v>165.15</v>
      </c>
    </row>
    <row r="483" spans="1:3" x14ac:dyDescent="0.25">
      <c r="A483" s="3">
        <v>44872</v>
      </c>
      <c r="B483" s="4">
        <v>158.33000000000001</v>
      </c>
      <c r="C483" s="4">
        <v>166.33</v>
      </c>
    </row>
    <row r="484" spans="1:3" x14ac:dyDescent="0.25">
      <c r="A484" s="3">
        <v>44873</v>
      </c>
      <c r="B484" s="4">
        <v>158.79</v>
      </c>
      <c r="C484" s="4">
        <v>166.79</v>
      </c>
    </row>
    <row r="485" spans="1:3" x14ac:dyDescent="0.25">
      <c r="A485" s="3">
        <v>44874</v>
      </c>
      <c r="B485" s="4">
        <v>159.16999999999999</v>
      </c>
      <c r="C485" s="4">
        <v>167.17</v>
      </c>
    </row>
    <row r="486" spans="1:3" x14ac:dyDescent="0.25">
      <c r="A486" s="3">
        <v>44875</v>
      </c>
      <c r="B486" s="4">
        <v>159.5</v>
      </c>
      <c r="C486" s="4">
        <v>167.5</v>
      </c>
    </row>
    <row r="487" spans="1:3" x14ac:dyDescent="0.25">
      <c r="A487" s="3">
        <v>44876</v>
      </c>
      <c r="B487" s="4">
        <v>159.77000000000001</v>
      </c>
      <c r="C487" s="4">
        <v>167.77</v>
      </c>
    </row>
    <row r="488" spans="1:3" x14ac:dyDescent="0.25">
      <c r="A488" s="3">
        <v>44879</v>
      </c>
      <c r="B488" s="4">
        <v>160.62</v>
      </c>
      <c r="C488" s="4">
        <v>168.62</v>
      </c>
    </row>
    <row r="489" spans="1:3" x14ac:dyDescent="0.25">
      <c r="A489" s="3">
        <v>44880</v>
      </c>
      <c r="B489" s="4">
        <v>161.18</v>
      </c>
      <c r="C489" s="4">
        <v>169.18</v>
      </c>
    </row>
    <row r="490" spans="1:3" x14ac:dyDescent="0.25">
      <c r="A490" s="3">
        <v>44881</v>
      </c>
      <c r="B490" s="4">
        <v>161.6</v>
      </c>
      <c r="C490" s="4">
        <v>169.6</v>
      </c>
    </row>
    <row r="491" spans="1:3" x14ac:dyDescent="0.25">
      <c r="A491" s="3">
        <v>44882</v>
      </c>
      <c r="B491" s="4">
        <v>161.88999999999999</v>
      </c>
      <c r="C491" s="4">
        <v>169.89</v>
      </c>
    </row>
    <row r="492" spans="1:3" x14ac:dyDescent="0.25">
      <c r="A492" s="3">
        <v>44883</v>
      </c>
      <c r="B492" s="4">
        <v>162.22</v>
      </c>
      <c r="C492" s="4">
        <v>170.22</v>
      </c>
    </row>
    <row r="493" spans="1:3" x14ac:dyDescent="0.25">
      <c r="A493" s="3">
        <v>44887</v>
      </c>
      <c r="B493" s="4">
        <v>163.52000000000001</v>
      </c>
      <c r="C493" s="4">
        <v>171.52</v>
      </c>
    </row>
    <row r="494" spans="1:3" x14ac:dyDescent="0.25">
      <c r="A494" s="3">
        <v>44888</v>
      </c>
      <c r="B494" s="4">
        <v>163.85</v>
      </c>
      <c r="C494" s="4">
        <v>171.85</v>
      </c>
    </row>
    <row r="495" spans="1:3" x14ac:dyDescent="0.25">
      <c r="A495" s="3">
        <v>44889</v>
      </c>
      <c r="B495" s="4">
        <v>164.24</v>
      </c>
      <c r="C495" s="4">
        <v>172.24</v>
      </c>
    </row>
    <row r="496" spans="1:3" x14ac:dyDescent="0.25">
      <c r="A496" s="3">
        <v>44890</v>
      </c>
      <c r="B496" s="4">
        <v>164.45</v>
      </c>
      <c r="C496" s="4">
        <v>172.45</v>
      </c>
    </row>
    <row r="497" spans="1:3" x14ac:dyDescent="0.25">
      <c r="A497" s="3">
        <v>44893</v>
      </c>
      <c r="B497" s="4">
        <v>165.66</v>
      </c>
      <c r="C497" s="4">
        <v>173.66</v>
      </c>
    </row>
    <row r="498" spans="1:3" x14ac:dyDescent="0.25">
      <c r="A498" s="3">
        <v>44894</v>
      </c>
      <c r="B498" s="4">
        <v>166.15</v>
      </c>
      <c r="C498" s="4">
        <v>174.15</v>
      </c>
    </row>
    <row r="499" spans="1:3" x14ac:dyDescent="0.25">
      <c r="A499" s="3">
        <v>44895</v>
      </c>
      <c r="B499" s="4">
        <v>165.55</v>
      </c>
      <c r="C499" s="4">
        <v>174.55</v>
      </c>
    </row>
    <row r="500" spans="1:3" x14ac:dyDescent="0.25">
      <c r="A500" s="3">
        <v>44896</v>
      </c>
      <c r="B500" s="4">
        <v>165.82</v>
      </c>
      <c r="C500" s="4">
        <v>174.82</v>
      </c>
    </row>
    <row r="501" spans="1:3" x14ac:dyDescent="0.25">
      <c r="A501" s="3">
        <v>44897</v>
      </c>
      <c r="B501" s="4">
        <v>166.24</v>
      </c>
      <c r="C501" s="4">
        <v>175.24</v>
      </c>
    </row>
    <row r="502" spans="1:3" x14ac:dyDescent="0.25">
      <c r="A502" s="3">
        <v>44900</v>
      </c>
      <c r="B502" s="4">
        <v>167.44</v>
      </c>
      <c r="C502" s="4">
        <v>176.44</v>
      </c>
    </row>
    <row r="503" spans="1:3" x14ac:dyDescent="0.25">
      <c r="A503" s="3">
        <v>44901</v>
      </c>
      <c r="B503" s="4">
        <v>167.59</v>
      </c>
      <c r="C503" s="4">
        <v>176.59</v>
      </c>
    </row>
    <row r="504" spans="1:3" x14ac:dyDescent="0.25">
      <c r="A504" s="3">
        <v>44902</v>
      </c>
      <c r="B504" s="4">
        <v>167.81</v>
      </c>
      <c r="C504" s="4">
        <v>176.81</v>
      </c>
    </row>
    <row r="505" spans="1:3" x14ac:dyDescent="0.25">
      <c r="A505" s="3">
        <v>44907</v>
      </c>
      <c r="B505" s="4">
        <v>169.57</v>
      </c>
      <c r="C505" s="4">
        <v>178.57</v>
      </c>
    </row>
    <row r="506" spans="1:3" x14ac:dyDescent="0.25">
      <c r="A506" s="3">
        <v>44908</v>
      </c>
      <c r="B506" s="4">
        <v>170.01</v>
      </c>
      <c r="C506" s="4">
        <v>179.01</v>
      </c>
    </row>
    <row r="507" spans="1:3" x14ac:dyDescent="0.25">
      <c r="A507" s="3">
        <v>44909</v>
      </c>
      <c r="B507" s="4">
        <v>170.22</v>
      </c>
      <c r="C507" s="4">
        <v>179.22</v>
      </c>
    </row>
    <row r="508" spans="1:3" x14ac:dyDescent="0.25">
      <c r="A508" s="3">
        <v>44910</v>
      </c>
      <c r="B508" s="4">
        <v>170.35</v>
      </c>
      <c r="C508" s="4">
        <v>179.35</v>
      </c>
    </row>
    <row r="509" spans="1:3" x14ac:dyDescent="0.25">
      <c r="A509" s="3">
        <v>44911</v>
      </c>
      <c r="B509" s="4">
        <v>170.69</v>
      </c>
      <c r="C509" s="4">
        <v>179.69</v>
      </c>
    </row>
    <row r="510" spans="1:3" x14ac:dyDescent="0.25">
      <c r="A510" s="3">
        <v>44914</v>
      </c>
      <c r="B510" s="4">
        <v>171.64</v>
      </c>
      <c r="C510" s="4">
        <v>180.64</v>
      </c>
    </row>
    <row r="511" spans="1:3" x14ac:dyDescent="0.25">
      <c r="A511" s="3">
        <v>44915</v>
      </c>
      <c r="B511" s="4">
        <v>171.68</v>
      </c>
      <c r="C511" s="4">
        <v>180.68</v>
      </c>
    </row>
    <row r="512" spans="1:3" x14ac:dyDescent="0.25">
      <c r="A512" s="3">
        <v>44916</v>
      </c>
      <c r="B512" s="4">
        <v>172.16</v>
      </c>
      <c r="C512" s="4">
        <v>181.16</v>
      </c>
    </row>
    <row r="513" spans="1:3" x14ac:dyDescent="0.25">
      <c r="A513" s="3">
        <v>44917</v>
      </c>
      <c r="B513" s="4">
        <v>172.36</v>
      </c>
      <c r="C513" s="4">
        <v>181.36</v>
      </c>
    </row>
    <row r="514" spans="1:3" x14ac:dyDescent="0.25">
      <c r="A514" s="3">
        <v>44918</v>
      </c>
      <c r="B514" s="4">
        <v>172.74</v>
      </c>
      <c r="C514" s="4">
        <v>181.74</v>
      </c>
    </row>
    <row r="515" spans="1:3" x14ac:dyDescent="0.25">
      <c r="A515" s="3">
        <v>44921</v>
      </c>
      <c r="B515" s="4">
        <v>173.91</v>
      </c>
      <c r="C515" s="4">
        <v>182.54</v>
      </c>
    </row>
    <row r="516" spans="1:3" x14ac:dyDescent="0.25">
      <c r="A516" s="3">
        <v>44922</v>
      </c>
      <c r="B516" s="4">
        <v>174.12</v>
      </c>
      <c r="C516" s="4">
        <v>183.12</v>
      </c>
    </row>
    <row r="517" spans="1:3" x14ac:dyDescent="0.25">
      <c r="A517" s="3">
        <v>44923</v>
      </c>
      <c r="B517" s="4">
        <v>174.51</v>
      </c>
      <c r="C517" s="4">
        <v>183.51</v>
      </c>
    </row>
    <row r="518" spans="1:3" x14ac:dyDescent="0.25">
      <c r="A518" s="3">
        <v>44924</v>
      </c>
      <c r="B518" s="4">
        <v>174.95</v>
      </c>
      <c r="C518" s="4">
        <v>183.95</v>
      </c>
    </row>
    <row r="519" spans="1:3" x14ac:dyDescent="0.25">
      <c r="A519" s="3">
        <v>44925</v>
      </c>
      <c r="B519" s="4">
        <v>175.64</v>
      </c>
      <c r="C519" s="4">
        <v>184.64</v>
      </c>
    </row>
    <row r="520" spans="1:3" x14ac:dyDescent="0.25">
      <c r="A520" s="3">
        <v>44926</v>
      </c>
      <c r="B520" s="4">
        <v>175.64</v>
      </c>
      <c r="C520" s="4">
        <v>184.64</v>
      </c>
    </row>
    <row r="521" spans="1:3" x14ac:dyDescent="0.25">
      <c r="A521" s="3">
        <v>44927</v>
      </c>
      <c r="B521" s="4">
        <v>175.64</v>
      </c>
      <c r="C521" s="4">
        <v>184.64</v>
      </c>
    </row>
    <row r="522" spans="1:3" x14ac:dyDescent="0.25">
      <c r="A522" s="3">
        <v>44928</v>
      </c>
      <c r="B522" s="4">
        <v>176.36</v>
      </c>
      <c r="C522" s="4">
        <v>185.36</v>
      </c>
    </row>
    <row r="523" spans="1:3" x14ac:dyDescent="0.25">
      <c r="A523" s="3">
        <v>44929</v>
      </c>
      <c r="B523" s="4">
        <v>176.99</v>
      </c>
      <c r="C523" s="4">
        <v>185.99</v>
      </c>
    </row>
    <row r="524" spans="1:3" x14ac:dyDescent="0.25">
      <c r="A524" s="3">
        <v>44930</v>
      </c>
      <c r="B524" s="4">
        <v>177.22</v>
      </c>
      <c r="C524" s="4">
        <v>186.22</v>
      </c>
    </row>
    <row r="525" spans="1:3" x14ac:dyDescent="0.25">
      <c r="A525" s="3">
        <v>44931</v>
      </c>
      <c r="B525" s="4">
        <v>177.25</v>
      </c>
      <c r="C525" s="4">
        <v>186.25</v>
      </c>
    </row>
    <row r="526" spans="1:3" x14ac:dyDescent="0.25">
      <c r="A526" s="3">
        <v>44932</v>
      </c>
      <c r="B526" s="4">
        <v>177.61</v>
      </c>
      <c r="C526" s="4">
        <v>186.61</v>
      </c>
    </row>
    <row r="527" spans="1:3" x14ac:dyDescent="0.25">
      <c r="A527" s="3">
        <v>44933</v>
      </c>
      <c r="B527" s="4">
        <v>177.61</v>
      </c>
      <c r="C527" s="4">
        <v>186.61</v>
      </c>
    </row>
    <row r="528" spans="1:3" x14ac:dyDescent="0.25">
      <c r="A528" s="3">
        <v>44934</v>
      </c>
      <c r="B528" s="4">
        <v>177.61</v>
      </c>
      <c r="C528" s="4">
        <v>186.61</v>
      </c>
    </row>
    <row r="529" spans="1:3" x14ac:dyDescent="0.25">
      <c r="A529" s="3">
        <v>44935</v>
      </c>
      <c r="B529" s="4">
        <v>178.72</v>
      </c>
      <c r="C529" s="4">
        <v>187.72</v>
      </c>
    </row>
    <row r="530" spans="1:3" x14ac:dyDescent="0.25">
      <c r="A530" s="3">
        <v>44936</v>
      </c>
      <c r="B530" s="4">
        <v>179.11</v>
      </c>
      <c r="C530" s="4">
        <v>188.11</v>
      </c>
    </row>
    <row r="531" spans="1:3" x14ac:dyDescent="0.25">
      <c r="A531" s="3">
        <v>44937</v>
      </c>
      <c r="B531" s="4">
        <v>179.21</v>
      </c>
      <c r="C531" s="4">
        <v>188.21</v>
      </c>
    </row>
    <row r="532" spans="1:3" x14ac:dyDescent="0.25">
      <c r="A532" s="3">
        <v>44938</v>
      </c>
      <c r="B532" s="4">
        <v>179.26</v>
      </c>
      <c r="C532" s="4">
        <v>188.26</v>
      </c>
    </row>
    <row r="533" spans="1:3" x14ac:dyDescent="0.25">
      <c r="A533" s="3">
        <v>44939</v>
      </c>
      <c r="B533" s="4">
        <v>179.53</v>
      </c>
      <c r="C533" s="4">
        <v>188.53</v>
      </c>
    </row>
    <row r="534" spans="1:3" x14ac:dyDescent="0.25">
      <c r="A534" s="3">
        <v>44940</v>
      </c>
      <c r="B534" s="4">
        <v>179.53</v>
      </c>
      <c r="C534" s="4">
        <v>188.53</v>
      </c>
    </row>
    <row r="535" spans="1:3" x14ac:dyDescent="0.25">
      <c r="A535" s="3">
        <v>44941</v>
      </c>
      <c r="B535" s="4">
        <v>179.53</v>
      </c>
      <c r="C535" s="4">
        <v>188.53</v>
      </c>
    </row>
    <row r="536" spans="1:3" x14ac:dyDescent="0.25">
      <c r="A536" s="3">
        <v>44942</v>
      </c>
      <c r="B536" s="4">
        <v>180.47</v>
      </c>
      <c r="C536" s="4">
        <v>189.47</v>
      </c>
    </row>
    <row r="537" spans="1:3" x14ac:dyDescent="0.25">
      <c r="A537" s="3">
        <v>44943</v>
      </c>
      <c r="B537" s="4">
        <v>180.74</v>
      </c>
      <c r="C537" s="4">
        <v>189.74</v>
      </c>
    </row>
    <row r="538" spans="1:3" x14ac:dyDescent="0.25">
      <c r="A538" s="3">
        <v>44944</v>
      </c>
      <c r="B538" s="4">
        <v>180.98</v>
      </c>
      <c r="C538" s="4">
        <v>189.98</v>
      </c>
    </row>
    <row r="539" spans="1:3" x14ac:dyDescent="0.25">
      <c r="A539" s="3">
        <v>44945</v>
      </c>
      <c r="B539" s="4">
        <v>181.2</v>
      </c>
      <c r="C539" s="4">
        <v>190.2</v>
      </c>
    </row>
    <row r="540" spans="1:3" x14ac:dyDescent="0.25">
      <c r="A540" s="3">
        <v>44946</v>
      </c>
      <c r="B540" s="4">
        <v>181.65</v>
      </c>
      <c r="C540" s="4">
        <v>190.65</v>
      </c>
    </row>
    <row r="541" spans="1:3" x14ac:dyDescent="0.25">
      <c r="A541" s="3">
        <v>44947</v>
      </c>
      <c r="B541" s="4">
        <v>181.65</v>
      </c>
      <c r="C541" s="4">
        <v>190.65</v>
      </c>
    </row>
    <row r="542" spans="1:3" x14ac:dyDescent="0.25">
      <c r="A542" s="3">
        <v>44948</v>
      </c>
      <c r="B542" s="4">
        <v>181.65</v>
      </c>
      <c r="C542" s="4">
        <v>190.65</v>
      </c>
    </row>
    <row r="543" spans="1:3" x14ac:dyDescent="0.25">
      <c r="A543" s="3">
        <v>44949</v>
      </c>
      <c r="B543" s="4">
        <v>182.68</v>
      </c>
      <c r="C543" s="4">
        <v>191.68</v>
      </c>
    </row>
    <row r="544" spans="1:3" x14ac:dyDescent="0.25">
      <c r="A544" s="3">
        <v>44950</v>
      </c>
      <c r="B544" s="4">
        <v>183.08</v>
      </c>
      <c r="C544" s="4">
        <v>192.08</v>
      </c>
    </row>
    <row r="545" spans="1:3" x14ac:dyDescent="0.25">
      <c r="A545" s="3">
        <v>44951</v>
      </c>
      <c r="B545" s="4">
        <v>183.26</v>
      </c>
      <c r="C545" s="4">
        <v>192.26</v>
      </c>
    </row>
    <row r="546" spans="1:3" x14ac:dyDescent="0.25">
      <c r="A546" s="3">
        <v>44952</v>
      </c>
      <c r="B546" s="4">
        <v>183.74</v>
      </c>
      <c r="C546" s="4">
        <v>192.74</v>
      </c>
    </row>
    <row r="547" spans="1:3" x14ac:dyDescent="0.25">
      <c r="A547" s="3">
        <v>44953</v>
      </c>
      <c r="B547" s="4">
        <v>184.06</v>
      </c>
      <c r="C547" s="4">
        <v>193.06</v>
      </c>
    </row>
    <row r="548" spans="1:3" x14ac:dyDescent="0.25">
      <c r="A548" s="3">
        <v>44954</v>
      </c>
      <c r="B548" s="4">
        <v>184.06</v>
      </c>
      <c r="C548" s="4">
        <v>193.06</v>
      </c>
    </row>
    <row r="549" spans="1:3" x14ac:dyDescent="0.25">
      <c r="A549" s="3">
        <v>44956</v>
      </c>
      <c r="B549" s="4">
        <v>185.07</v>
      </c>
      <c r="C549" s="4">
        <v>194.07</v>
      </c>
    </row>
    <row r="550" spans="1:3" x14ac:dyDescent="0.25">
      <c r="A550" s="3">
        <v>44957</v>
      </c>
      <c r="B550" s="4">
        <v>185.36</v>
      </c>
      <c r="C550" s="4">
        <v>194.36</v>
      </c>
    </row>
    <row r="551" spans="1:3" x14ac:dyDescent="0.25">
      <c r="A551" s="3">
        <v>44958</v>
      </c>
      <c r="B551" s="4">
        <v>185.95</v>
      </c>
      <c r="C551" s="4">
        <v>194.95</v>
      </c>
    </row>
    <row r="552" spans="1:3" x14ac:dyDescent="0.25">
      <c r="A552" s="3">
        <v>44959</v>
      </c>
      <c r="B552" s="4">
        <v>186.14</v>
      </c>
      <c r="C552" s="4">
        <v>195.14</v>
      </c>
    </row>
    <row r="553" spans="1:3" x14ac:dyDescent="0.25">
      <c r="A553" s="3">
        <v>44960</v>
      </c>
      <c r="B553" s="4">
        <v>186.4</v>
      </c>
      <c r="C553" s="4">
        <v>195.4</v>
      </c>
    </row>
    <row r="554" spans="1:3" x14ac:dyDescent="0.25">
      <c r="A554" s="3">
        <v>44961</v>
      </c>
      <c r="B554" s="4">
        <v>186.4</v>
      </c>
      <c r="C554" s="4">
        <v>195.4</v>
      </c>
    </row>
    <row r="555" spans="1:3" x14ac:dyDescent="0.25">
      <c r="A555" s="3">
        <v>44962</v>
      </c>
      <c r="B555" s="4">
        <v>186.4</v>
      </c>
      <c r="C555" s="4">
        <v>195.4</v>
      </c>
    </row>
    <row r="556" spans="1:3" x14ac:dyDescent="0.25">
      <c r="A556" s="3">
        <v>44963</v>
      </c>
      <c r="B556" s="4">
        <v>187.52</v>
      </c>
      <c r="C556" s="4">
        <v>196.52</v>
      </c>
    </row>
    <row r="557" spans="1:3" x14ac:dyDescent="0.25">
      <c r="A557" s="3">
        <v>44964</v>
      </c>
      <c r="B557" s="4">
        <v>187.74</v>
      </c>
      <c r="C557" s="4">
        <v>196.74</v>
      </c>
    </row>
    <row r="558" spans="1:3" x14ac:dyDescent="0.25">
      <c r="A558" s="3">
        <v>44965</v>
      </c>
      <c r="B558" s="4">
        <v>187.93</v>
      </c>
      <c r="C558" s="4">
        <v>196.93</v>
      </c>
    </row>
    <row r="559" spans="1:3" x14ac:dyDescent="0.25">
      <c r="A559" s="3">
        <v>44966</v>
      </c>
      <c r="B559" s="4">
        <v>188.18</v>
      </c>
      <c r="C559" s="4">
        <v>197.18</v>
      </c>
    </row>
    <row r="560" spans="1:3" x14ac:dyDescent="0.25">
      <c r="A560" s="3">
        <v>44967</v>
      </c>
      <c r="B560" s="4">
        <v>188.6</v>
      </c>
      <c r="C560" s="4">
        <v>197.6</v>
      </c>
    </row>
    <row r="561" spans="1:3" x14ac:dyDescent="0.25">
      <c r="A561" s="3">
        <v>44968</v>
      </c>
      <c r="B561" s="4">
        <v>188.6</v>
      </c>
      <c r="C561" s="4">
        <v>197.6</v>
      </c>
    </row>
    <row r="562" spans="1:3" x14ac:dyDescent="0.25">
      <c r="A562" s="3">
        <v>44970</v>
      </c>
      <c r="B562" s="4">
        <v>189.78</v>
      </c>
      <c r="C562" s="4">
        <v>198.78</v>
      </c>
    </row>
    <row r="563" spans="1:3" x14ac:dyDescent="0.25">
      <c r="A563" s="3">
        <v>44971</v>
      </c>
      <c r="B563" s="4">
        <v>190.03</v>
      </c>
      <c r="C563" s="4">
        <v>199.03</v>
      </c>
    </row>
    <row r="564" spans="1:3" x14ac:dyDescent="0.25">
      <c r="A564" s="3">
        <v>44972</v>
      </c>
      <c r="B564" s="4">
        <v>190.47</v>
      </c>
      <c r="C564" s="4">
        <v>199.47</v>
      </c>
    </row>
    <row r="565" spans="1:3" x14ac:dyDescent="0.25">
      <c r="A565" s="3">
        <v>44973</v>
      </c>
      <c r="B565" s="4">
        <v>190.7</v>
      </c>
      <c r="C565" s="4">
        <v>199.7</v>
      </c>
    </row>
    <row r="566" spans="1:3" x14ac:dyDescent="0.25">
      <c r="A566" s="3">
        <v>44974</v>
      </c>
      <c r="B566" s="4">
        <v>191.55</v>
      </c>
      <c r="C566" s="4">
        <v>200.55</v>
      </c>
    </row>
    <row r="567" spans="1:3" x14ac:dyDescent="0.25">
      <c r="A567" s="3">
        <v>44975</v>
      </c>
      <c r="B567" s="4">
        <v>191.55</v>
      </c>
      <c r="C567" s="4">
        <v>200.55</v>
      </c>
    </row>
    <row r="568" spans="1:3" x14ac:dyDescent="0.25">
      <c r="A568" s="3">
        <v>44976</v>
      </c>
      <c r="B568" s="4">
        <v>191.55</v>
      </c>
      <c r="C568" s="4">
        <v>200.55</v>
      </c>
    </row>
    <row r="569" spans="1:3" x14ac:dyDescent="0.25">
      <c r="A569" s="3">
        <v>44977</v>
      </c>
      <c r="B569" s="4">
        <v>191.55</v>
      </c>
      <c r="C569" s="4">
        <v>200.55</v>
      </c>
    </row>
    <row r="570" spans="1:3" x14ac:dyDescent="0.25">
      <c r="A570" s="3">
        <v>44978</v>
      </c>
      <c r="B570" s="4">
        <v>191.55</v>
      </c>
      <c r="C570" s="4">
        <v>200.55</v>
      </c>
    </row>
    <row r="571" spans="1:3" x14ac:dyDescent="0.25">
      <c r="A571" s="3">
        <v>44979</v>
      </c>
      <c r="B571" s="4">
        <v>192.73</v>
      </c>
      <c r="C571" s="4">
        <v>201.73</v>
      </c>
    </row>
    <row r="572" spans="1:3" x14ac:dyDescent="0.25">
      <c r="A572" s="3">
        <v>44980</v>
      </c>
      <c r="B572" s="4">
        <v>193.48</v>
      </c>
      <c r="C572" s="4">
        <v>202.48</v>
      </c>
    </row>
    <row r="573" spans="1:3" x14ac:dyDescent="0.25">
      <c r="A573" s="3">
        <v>44981</v>
      </c>
      <c r="B573" s="4">
        <v>193.88</v>
      </c>
      <c r="C573" s="4">
        <v>202.88</v>
      </c>
    </row>
    <row r="574" spans="1:3" x14ac:dyDescent="0.25">
      <c r="A574" s="3">
        <v>44982</v>
      </c>
      <c r="B574" s="4">
        <v>193.88</v>
      </c>
      <c r="C574" s="4">
        <v>202.88</v>
      </c>
    </row>
    <row r="575" spans="1:3" x14ac:dyDescent="0.25">
      <c r="A575" s="3">
        <v>44983</v>
      </c>
      <c r="B575" s="4">
        <v>193.88</v>
      </c>
      <c r="C575" s="4">
        <v>202.88</v>
      </c>
    </row>
    <row r="576" spans="1:3" x14ac:dyDescent="0.25">
      <c r="A576" s="3">
        <v>44984</v>
      </c>
      <c r="B576" s="4">
        <v>195.12</v>
      </c>
      <c r="C576" s="4">
        <v>204.12</v>
      </c>
    </row>
    <row r="577" spans="1:3" x14ac:dyDescent="0.25">
      <c r="A577" s="3">
        <v>44985</v>
      </c>
      <c r="B577" s="4">
        <v>195.39</v>
      </c>
      <c r="C577" s="4">
        <v>204.39</v>
      </c>
    </row>
    <row r="578" spans="1:3" x14ac:dyDescent="0.25">
      <c r="A578" s="3">
        <v>44986</v>
      </c>
      <c r="B578" s="4">
        <v>195.73</v>
      </c>
      <c r="C578" s="4">
        <v>204.73</v>
      </c>
    </row>
    <row r="579" spans="1:3" x14ac:dyDescent="0.25">
      <c r="A579" s="3">
        <v>44987</v>
      </c>
      <c r="B579" s="4">
        <v>196.37</v>
      </c>
      <c r="C579" s="4">
        <v>205.37</v>
      </c>
    </row>
    <row r="580" spans="1:3" x14ac:dyDescent="0.25">
      <c r="A580" s="3">
        <v>44988</v>
      </c>
      <c r="B580" s="4">
        <v>196.72</v>
      </c>
      <c r="C580" s="4">
        <v>205.72</v>
      </c>
    </row>
    <row r="581" spans="1:3" x14ac:dyDescent="0.25">
      <c r="A581" s="3">
        <v>44989</v>
      </c>
      <c r="B581" s="4">
        <v>196.72</v>
      </c>
      <c r="C581" s="4">
        <v>205.72</v>
      </c>
    </row>
    <row r="582" spans="1:3" x14ac:dyDescent="0.25">
      <c r="A582" s="3">
        <v>44990</v>
      </c>
      <c r="B582" s="4">
        <v>197.67</v>
      </c>
      <c r="C582" s="4">
        <v>206.67</v>
      </c>
    </row>
    <row r="583" spans="1:3" x14ac:dyDescent="0.25">
      <c r="A583" s="3">
        <v>44991</v>
      </c>
      <c r="B583" s="4">
        <v>197.67</v>
      </c>
      <c r="C583" s="4">
        <v>206.67</v>
      </c>
    </row>
    <row r="584" spans="1:3" x14ac:dyDescent="0.25">
      <c r="A584" s="3">
        <v>44992</v>
      </c>
      <c r="B584" s="4">
        <v>197.9</v>
      </c>
      <c r="C584" s="4">
        <v>206.9</v>
      </c>
    </row>
    <row r="585" spans="1:3" x14ac:dyDescent="0.25">
      <c r="A585" s="3">
        <v>44993</v>
      </c>
      <c r="B585" s="4">
        <v>198.22</v>
      </c>
      <c r="C585" s="4">
        <v>207.22</v>
      </c>
    </row>
    <row r="586" spans="1:3" x14ac:dyDescent="0.25">
      <c r="A586" s="3">
        <v>44994</v>
      </c>
      <c r="B586" s="4">
        <v>198.49</v>
      </c>
      <c r="C586" s="4">
        <v>207.49</v>
      </c>
    </row>
    <row r="587" spans="1:3" x14ac:dyDescent="0.25">
      <c r="A587" s="3">
        <v>44995</v>
      </c>
      <c r="B587" s="4">
        <v>198.96</v>
      </c>
      <c r="C587" s="4">
        <v>207.96</v>
      </c>
    </row>
    <row r="588" spans="1:3" x14ac:dyDescent="0.25">
      <c r="A588" s="3">
        <v>44996</v>
      </c>
      <c r="B588" s="4">
        <v>198.96</v>
      </c>
      <c r="C588" s="4">
        <v>207.96</v>
      </c>
    </row>
    <row r="589" spans="1:3" x14ac:dyDescent="0.25">
      <c r="A589" s="3">
        <v>44997</v>
      </c>
      <c r="B589" s="4">
        <v>198.96</v>
      </c>
      <c r="C589" s="4">
        <v>207.96</v>
      </c>
    </row>
    <row r="590" spans="1:3" x14ac:dyDescent="0.25">
      <c r="A590" s="3">
        <v>44998</v>
      </c>
      <c r="B590" s="4">
        <v>199.88</v>
      </c>
      <c r="C590" s="4">
        <v>208.88</v>
      </c>
    </row>
    <row r="591" spans="1:3" x14ac:dyDescent="0.25">
      <c r="A591" s="3">
        <v>44999</v>
      </c>
      <c r="B591" s="4">
        <v>200.36</v>
      </c>
      <c r="C591" s="4">
        <v>209.36</v>
      </c>
    </row>
    <row r="592" spans="1:3" x14ac:dyDescent="0.25">
      <c r="A592" s="3">
        <v>45000</v>
      </c>
      <c r="B592" s="4">
        <v>200.62</v>
      </c>
      <c r="C592" s="4">
        <v>209.62</v>
      </c>
    </row>
    <row r="593" spans="1:3" x14ac:dyDescent="0.25">
      <c r="A593" s="3">
        <v>45001</v>
      </c>
      <c r="B593" s="4">
        <v>201.21</v>
      </c>
      <c r="C593" s="4">
        <v>210.21</v>
      </c>
    </row>
    <row r="594" spans="1:3" x14ac:dyDescent="0.25">
      <c r="A594" s="3">
        <v>45002</v>
      </c>
      <c r="B594" s="4">
        <v>201.54</v>
      </c>
      <c r="C594" s="4">
        <v>210.54</v>
      </c>
    </row>
    <row r="595" spans="1:3" x14ac:dyDescent="0.25">
      <c r="A595" s="3">
        <v>45003</v>
      </c>
      <c r="B595" s="4">
        <v>201.54</v>
      </c>
      <c r="C595" s="4">
        <v>210.54</v>
      </c>
    </row>
    <row r="596" spans="1:3" x14ac:dyDescent="0.25">
      <c r="A596" s="3">
        <v>45004</v>
      </c>
      <c r="B596" s="4">
        <v>201.54</v>
      </c>
      <c r="C596" s="4">
        <v>210.54</v>
      </c>
    </row>
    <row r="597" spans="1:3" x14ac:dyDescent="0.25">
      <c r="A597" s="3">
        <v>45005</v>
      </c>
      <c r="B597" s="4">
        <v>202.85</v>
      </c>
      <c r="C597" s="4">
        <v>211.85</v>
      </c>
    </row>
    <row r="598" spans="1:3" x14ac:dyDescent="0.25">
      <c r="A598" s="3">
        <v>45006</v>
      </c>
      <c r="B598" s="4">
        <v>203.24</v>
      </c>
      <c r="C598" s="4">
        <v>212.24</v>
      </c>
    </row>
    <row r="599" spans="1:3" x14ac:dyDescent="0.25">
      <c r="A599" s="3">
        <v>45007</v>
      </c>
      <c r="B599" s="4">
        <v>203.72</v>
      </c>
      <c r="C599" s="4">
        <v>212.72</v>
      </c>
    </row>
    <row r="600" spans="1:3" x14ac:dyDescent="0.25">
      <c r="A600" s="3">
        <v>45008</v>
      </c>
      <c r="B600" s="4">
        <v>203.97</v>
      </c>
      <c r="C600" s="4">
        <v>212.97</v>
      </c>
    </row>
    <row r="601" spans="1:3" x14ac:dyDescent="0.25">
      <c r="A601" s="3">
        <v>45009</v>
      </c>
      <c r="B601" s="4">
        <v>203.97</v>
      </c>
      <c r="C601" s="4">
        <v>212.97</v>
      </c>
    </row>
    <row r="602" spans="1:3" x14ac:dyDescent="0.25">
      <c r="A602" s="3">
        <v>45010</v>
      </c>
      <c r="B602" s="4">
        <v>203.97</v>
      </c>
      <c r="C602" s="4">
        <v>212.97</v>
      </c>
    </row>
    <row r="603" spans="1:3" x14ac:dyDescent="0.25">
      <c r="A603" s="3">
        <v>45011</v>
      </c>
      <c r="B603" s="4">
        <v>203.97</v>
      </c>
      <c r="C603" s="4">
        <v>212.97</v>
      </c>
    </row>
    <row r="604" spans="1:3" x14ac:dyDescent="0.25">
      <c r="A604" s="3">
        <v>45012</v>
      </c>
      <c r="B604" s="4">
        <v>205.45</v>
      </c>
      <c r="C604" s="4">
        <v>214.45</v>
      </c>
    </row>
    <row r="605" spans="1:3" x14ac:dyDescent="0.25">
      <c r="A605" s="3">
        <v>45013</v>
      </c>
      <c r="B605" s="4">
        <v>206.03</v>
      </c>
      <c r="C605" s="4">
        <v>215.03</v>
      </c>
    </row>
    <row r="606" spans="1:3" x14ac:dyDescent="0.25">
      <c r="A606" s="3">
        <v>45014</v>
      </c>
      <c r="B606" s="4">
        <v>206.5</v>
      </c>
      <c r="C606" s="4">
        <v>215.5</v>
      </c>
    </row>
    <row r="607" spans="1:3" x14ac:dyDescent="0.25">
      <c r="A607" s="3">
        <v>45015</v>
      </c>
      <c r="B607" s="4">
        <v>206.81</v>
      </c>
      <c r="C607" s="4">
        <v>215.81</v>
      </c>
    </row>
    <row r="608" spans="1:3" x14ac:dyDescent="0.25">
      <c r="A608" s="3">
        <v>45016</v>
      </c>
      <c r="B608" s="4">
        <v>207.24</v>
      </c>
      <c r="C608" s="4">
        <v>216.24</v>
      </c>
    </row>
    <row r="609" spans="1:3" x14ac:dyDescent="0.25">
      <c r="A609" s="3">
        <v>45017</v>
      </c>
      <c r="B609" s="4">
        <v>207.24</v>
      </c>
      <c r="C609" s="4">
        <v>216.24</v>
      </c>
    </row>
    <row r="610" spans="1:3" x14ac:dyDescent="0.25">
      <c r="A610" s="3">
        <v>45018</v>
      </c>
      <c r="B610" s="4">
        <v>207.24</v>
      </c>
      <c r="C610" s="4">
        <v>216.24</v>
      </c>
    </row>
    <row r="611" spans="1:3" x14ac:dyDescent="0.25">
      <c r="A611" s="3">
        <v>45019</v>
      </c>
      <c r="B611" s="4">
        <v>208.44</v>
      </c>
      <c r="C611" s="4">
        <v>217.44</v>
      </c>
    </row>
    <row r="612" spans="1:3" x14ac:dyDescent="0.25">
      <c r="A612" s="3">
        <v>45020</v>
      </c>
      <c r="B612" s="4">
        <v>209.03</v>
      </c>
      <c r="C612" s="4">
        <v>218.03</v>
      </c>
    </row>
    <row r="613" spans="1:3" x14ac:dyDescent="0.25">
      <c r="A613" s="3">
        <v>45021</v>
      </c>
      <c r="B613" s="4">
        <v>209.77</v>
      </c>
      <c r="C613" s="4">
        <v>218.77</v>
      </c>
    </row>
    <row r="614" spans="1:3" x14ac:dyDescent="0.25">
      <c r="A614" s="3">
        <v>45022</v>
      </c>
      <c r="B614" s="4">
        <v>209.77</v>
      </c>
      <c r="C614" s="4">
        <v>218.77</v>
      </c>
    </row>
    <row r="615" spans="1:3" x14ac:dyDescent="0.25">
      <c r="A615" s="3">
        <v>45023</v>
      </c>
      <c r="B615" s="4">
        <v>209.77</v>
      </c>
      <c r="C615" s="4">
        <v>218.77</v>
      </c>
    </row>
    <row r="616" spans="1:3" x14ac:dyDescent="0.25">
      <c r="A616" s="3">
        <v>45024</v>
      </c>
      <c r="B616" s="4">
        <v>209.77</v>
      </c>
      <c r="C616" s="4">
        <v>218.77</v>
      </c>
    </row>
    <row r="617" spans="1:3" x14ac:dyDescent="0.25">
      <c r="A617" s="3">
        <v>45026</v>
      </c>
      <c r="B617" s="4">
        <v>211.73</v>
      </c>
      <c r="C617" s="4">
        <v>220.73</v>
      </c>
    </row>
    <row r="618" spans="1:3" x14ac:dyDescent="0.25">
      <c r="A618" s="3">
        <v>45027</v>
      </c>
      <c r="B618" s="4">
        <v>212.17</v>
      </c>
      <c r="C618" s="4">
        <v>221.17</v>
      </c>
    </row>
    <row r="619" spans="1:3" x14ac:dyDescent="0.25">
      <c r="A619" s="3">
        <v>45028</v>
      </c>
      <c r="B619" s="4">
        <v>212.46</v>
      </c>
      <c r="C619" s="4">
        <v>221.46</v>
      </c>
    </row>
    <row r="620" spans="1:3" x14ac:dyDescent="0.25">
      <c r="A620" s="3">
        <v>45029</v>
      </c>
      <c r="B620" s="4">
        <v>212.62</v>
      </c>
      <c r="C620" s="4">
        <v>221.62</v>
      </c>
    </row>
    <row r="621" spans="1:3" x14ac:dyDescent="0.25">
      <c r="A621" s="3">
        <v>45030</v>
      </c>
      <c r="B621" s="4">
        <v>212.77</v>
      </c>
      <c r="C621" s="4">
        <v>221.77</v>
      </c>
    </row>
    <row r="622" spans="1:3" x14ac:dyDescent="0.25">
      <c r="A622" s="3">
        <v>45031</v>
      </c>
      <c r="B622" s="4">
        <v>212.77</v>
      </c>
      <c r="C622" s="4">
        <v>221.77</v>
      </c>
    </row>
    <row r="623" spans="1:3" x14ac:dyDescent="0.25">
      <c r="A623" s="3">
        <v>45032</v>
      </c>
      <c r="B623" s="4">
        <v>212.77</v>
      </c>
      <c r="C623" s="4">
        <v>221.77</v>
      </c>
    </row>
    <row r="624" spans="1:3" x14ac:dyDescent="0.25">
      <c r="A624" s="3">
        <v>45033</v>
      </c>
      <c r="B624" s="4">
        <v>214.39</v>
      </c>
      <c r="C624" s="4">
        <v>223.39</v>
      </c>
    </row>
    <row r="625" spans="1:3" x14ac:dyDescent="0.25">
      <c r="A625" s="3">
        <v>45034</v>
      </c>
      <c r="B625" s="4">
        <v>214.73</v>
      </c>
      <c r="C625" s="4">
        <v>223.73</v>
      </c>
    </row>
    <row r="626" spans="1:3" x14ac:dyDescent="0.25">
      <c r="A626" s="3">
        <v>45035</v>
      </c>
      <c r="B626" s="4">
        <v>215.55</v>
      </c>
      <c r="C626" s="4">
        <v>224.55</v>
      </c>
    </row>
    <row r="627" spans="1:3" x14ac:dyDescent="0.25">
      <c r="A627" s="3">
        <v>45036</v>
      </c>
      <c r="B627" s="4">
        <v>216.21</v>
      </c>
      <c r="C627" s="4">
        <v>225.21</v>
      </c>
    </row>
    <row r="628" spans="1:3" x14ac:dyDescent="0.25">
      <c r="A628" s="3">
        <v>45037</v>
      </c>
      <c r="B628" s="4">
        <v>216.58</v>
      </c>
      <c r="C628" s="4">
        <v>225.58</v>
      </c>
    </row>
    <row r="629" spans="1:3" x14ac:dyDescent="0.25">
      <c r="A629" s="3">
        <v>45038</v>
      </c>
      <c r="B629" s="4">
        <v>216.58</v>
      </c>
      <c r="C629" s="4">
        <v>225.58</v>
      </c>
    </row>
    <row r="630" spans="1:3" x14ac:dyDescent="0.25">
      <c r="A630" s="3">
        <v>45040</v>
      </c>
      <c r="B630" s="4">
        <v>217.94</v>
      </c>
      <c r="C630" s="4">
        <v>226.94</v>
      </c>
    </row>
    <row r="631" spans="1:3" x14ac:dyDescent="0.25">
      <c r="A631" s="3">
        <v>45041</v>
      </c>
      <c r="B631" s="4">
        <v>218.68</v>
      </c>
      <c r="C631" s="4">
        <v>227.68</v>
      </c>
    </row>
    <row r="632" spans="1:3" x14ac:dyDescent="0.25">
      <c r="A632" s="3">
        <v>45042</v>
      </c>
      <c r="B632" s="4">
        <v>219.43</v>
      </c>
      <c r="C632" s="4">
        <v>228.43</v>
      </c>
    </row>
    <row r="633" spans="1:3" x14ac:dyDescent="0.25">
      <c r="A633" s="3">
        <v>45043</v>
      </c>
      <c r="B633" s="4">
        <v>220.12</v>
      </c>
      <c r="C633" s="4">
        <v>229.12</v>
      </c>
    </row>
    <row r="634" spans="1:3" x14ac:dyDescent="0.25">
      <c r="A634" s="3">
        <v>45044</v>
      </c>
      <c r="B634" s="4">
        <v>220.63</v>
      </c>
      <c r="C634" s="4">
        <v>229.63</v>
      </c>
    </row>
    <row r="635" spans="1:3" x14ac:dyDescent="0.25">
      <c r="A635" s="3">
        <v>45045</v>
      </c>
      <c r="B635" s="4">
        <v>220.63</v>
      </c>
      <c r="C635" s="4">
        <v>229.63</v>
      </c>
    </row>
    <row r="636" spans="1:3" x14ac:dyDescent="0.25">
      <c r="A636" s="3">
        <v>45046</v>
      </c>
      <c r="B636" s="4">
        <v>220.63</v>
      </c>
      <c r="C636" s="4">
        <v>229.63</v>
      </c>
    </row>
    <row r="637" spans="1:3" x14ac:dyDescent="0.25">
      <c r="A637" s="3">
        <v>45047</v>
      </c>
      <c r="B637" s="4">
        <v>220.63</v>
      </c>
      <c r="C637" s="4">
        <v>229.63</v>
      </c>
    </row>
    <row r="638" spans="1:3" x14ac:dyDescent="0.25">
      <c r="A638" s="3">
        <v>45048</v>
      </c>
      <c r="B638" s="4">
        <v>223.09</v>
      </c>
      <c r="C638" s="4">
        <v>232.09</v>
      </c>
    </row>
    <row r="639" spans="1:3" x14ac:dyDescent="0.25">
      <c r="A639" s="3">
        <v>45049</v>
      </c>
      <c r="B639" s="4">
        <v>223.88</v>
      </c>
      <c r="C639" s="4">
        <v>232.88</v>
      </c>
    </row>
    <row r="640" spans="1:3" x14ac:dyDescent="0.25">
      <c r="A640" s="3">
        <v>45050</v>
      </c>
      <c r="B640" s="4">
        <v>224.72</v>
      </c>
      <c r="C640" s="4">
        <v>233.72</v>
      </c>
    </row>
    <row r="641" spans="1:3" x14ac:dyDescent="0.25">
      <c r="A641" s="3">
        <v>45051</v>
      </c>
      <c r="B641" s="4">
        <v>226.98</v>
      </c>
      <c r="C641" s="4">
        <v>235.98</v>
      </c>
    </row>
    <row r="642" spans="1:3" x14ac:dyDescent="0.25">
      <c r="A642" s="3">
        <v>45052</v>
      </c>
      <c r="B642" s="4">
        <v>226.98</v>
      </c>
      <c r="C642" s="4">
        <v>235.98</v>
      </c>
    </row>
    <row r="643" spans="1:3" x14ac:dyDescent="0.25">
      <c r="A643" s="3">
        <v>45053</v>
      </c>
      <c r="B643" s="4">
        <v>226.98</v>
      </c>
      <c r="C643" s="4">
        <v>235.98</v>
      </c>
    </row>
    <row r="644" spans="1:3" x14ac:dyDescent="0.25">
      <c r="A644" s="3">
        <v>45054</v>
      </c>
      <c r="B644" s="4">
        <v>229.18</v>
      </c>
      <c r="C644" s="4">
        <v>238.18</v>
      </c>
    </row>
    <row r="645" spans="1:3" x14ac:dyDescent="0.25">
      <c r="A645" s="3">
        <v>45055</v>
      </c>
      <c r="B645" s="4">
        <v>229.89</v>
      </c>
      <c r="C645" s="4">
        <v>238.89</v>
      </c>
    </row>
    <row r="646" spans="1:3" x14ac:dyDescent="0.25">
      <c r="A646" s="3">
        <v>45056</v>
      </c>
      <c r="B646" s="4">
        <v>230.59</v>
      </c>
      <c r="C646" s="4">
        <v>239.59</v>
      </c>
    </row>
    <row r="647" spans="1:3" x14ac:dyDescent="0.25">
      <c r="A647" s="3">
        <v>45057</v>
      </c>
      <c r="B647" s="4">
        <v>230.59</v>
      </c>
      <c r="C647" s="4">
        <v>239.59</v>
      </c>
    </row>
    <row r="648" spans="1:3" x14ac:dyDescent="0.25">
      <c r="A648" s="3">
        <v>45058</v>
      </c>
      <c r="B648" s="4">
        <v>231.07</v>
      </c>
      <c r="C648" s="4">
        <v>240.07</v>
      </c>
    </row>
    <row r="649" spans="1:3" x14ac:dyDescent="0.25">
      <c r="A649" s="3">
        <v>45059</v>
      </c>
      <c r="B649" s="4">
        <v>231.07</v>
      </c>
      <c r="C649" s="4">
        <v>240.07</v>
      </c>
    </row>
    <row r="650" spans="1:3" x14ac:dyDescent="0.25">
      <c r="A650" s="3">
        <v>45060</v>
      </c>
      <c r="B650" s="4">
        <v>231.07</v>
      </c>
      <c r="C650" s="4">
        <v>240.07</v>
      </c>
    </row>
    <row r="651" spans="1:3" x14ac:dyDescent="0.25">
      <c r="A651" s="3">
        <v>45061</v>
      </c>
      <c r="B651" s="4">
        <v>231.39</v>
      </c>
      <c r="C651" s="4">
        <v>241.39</v>
      </c>
    </row>
    <row r="652" spans="1:3" x14ac:dyDescent="0.25">
      <c r="A652" s="3">
        <v>45062</v>
      </c>
      <c r="B652" s="4">
        <v>232.37</v>
      </c>
      <c r="C652" s="4">
        <v>242.37</v>
      </c>
    </row>
    <row r="653" spans="1:3" x14ac:dyDescent="0.25">
      <c r="A653" s="3">
        <v>45063</v>
      </c>
      <c r="B653" s="4">
        <v>232.65</v>
      </c>
      <c r="C653" s="4">
        <v>242.65</v>
      </c>
    </row>
    <row r="654" spans="1:3" x14ac:dyDescent="0.25">
      <c r="A654" s="3">
        <v>45064</v>
      </c>
      <c r="B654" s="4">
        <v>233.02</v>
      </c>
      <c r="C654" s="4">
        <v>243.02</v>
      </c>
    </row>
    <row r="655" spans="1:3" x14ac:dyDescent="0.25">
      <c r="A655" s="3">
        <v>45065</v>
      </c>
      <c r="B655" s="4">
        <v>233.59</v>
      </c>
      <c r="C655" s="4">
        <v>243.59</v>
      </c>
    </row>
    <row r="656" spans="1:3" x14ac:dyDescent="0.25">
      <c r="A656" s="3">
        <v>45066</v>
      </c>
      <c r="B656" s="4">
        <v>233.59</v>
      </c>
      <c r="C656" s="4">
        <v>243.59</v>
      </c>
    </row>
    <row r="657" spans="1:3" x14ac:dyDescent="0.25">
      <c r="A657" s="3">
        <v>45067</v>
      </c>
      <c r="B657" s="4">
        <v>233.59</v>
      </c>
      <c r="C657" s="4">
        <v>243.59</v>
      </c>
    </row>
    <row r="658" spans="1:3" x14ac:dyDescent="0.25">
      <c r="A658" s="3">
        <v>45068</v>
      </c>
      <c r="B658" s="4">
        <v>235.02</v>
      </c>
      <c r="C658" s="4">
        <v>245.02</v>
      </c>
    </row>
    <row r="659" spans="1:3" x14ac:dyDescent="0.25">
      <c r="A659" s="3">
        <v>45069</v>
      </c>
      <c r="B659" s="4">
        <v>235.53</v>
      </c>
      <c r="C659" s="4">
        <v>245.53</v>
      </c>
    </row>
    <row r="660" spans="1:3" x14ac:dyDescent="0.25">
      <c r="A660" s="3">
        <v>45070</v>
      </c>
      <c r="B660" s="4">
        <v>236.59</v>
      </c>
      <c r="C660" s="4">
        <v>246.59</v>
      </c>
    </row>
    <row r="661" spans="1:3" x14ac:dyDescent="0.25">
      <c r="A661" s="3">
        <v>45071</v>
      </c>
      <c r="B661" s="4">
        <v>236.59</v>
      </c>
      <c r="C661" s="4">
        <v>246.59</v>
      </c>
    </row>
    <row r="662" spans="1:3" x14ac:dyDescent="0.25">
      <c r="A662" s="3">
        <v>45072</v>
      </c>
      <c r="B662" s="4">
        <v>236.59</v>
      </c>
      <c r="C662" s="4">
        <v>246.59</v>
      </c>
    </row>
    <row r="663" spans="1:3" x14ac:dyDescent="0.25">
      <c r="A663" s="3">
        <v>45073</v>
      </c>
      <c r="B663" s="4">
        <v>236.59</v>
      </c>
      <c r="C663" s="4">
        <v>246.59</v>
      </c>
    </row>
    <row r="664" spans="1:3" x14ac:dyDescent="0.25">
      <c r="A664" s="3">
        <v>45074</v>
      </c>
      <c r="B664" s="4">
        <v>236.59</v>
      </c>
      <c r="C664" s="4">
        <v>246.59</v>
      </c>
    </row>
    <row r="665" spans="1:3" x14ac:dyDescent="0.25">
      <c r="A665" s="3">
        <v>45075</v>
      </c>
      <c r="B665" s="4">
        <v>238.68</v>
      </c>
      <c r="C665" s="4">
        <v>248.68</v>
      </c>
    </row>
    <row r="666" spans="1:3" x14ac:dyDescent="0.25">
      <c r="A666" s="3">
        <v>45076</v>
      </c>
      <c r="B666" s="4">
        <v>239.79</v>
      </c>
      <c r="C666" s="4">
        <v>249.79</v>
      </c>
    </row>
    <row r="667" spans="1:3" x14ac:dyDescent="0.25">
      <c r="A667" s="3">
        <v>45077</v>
      </c>
      <c r="B667" s="4">
        <v>240.37</v>
      </c>
      <c r="C667" s="4">
        <v>250.37</v>
      </c>
    </row>
    <row r="668" spans="1:3" x14ac:dyDescent="0.25">
      <c r="A668" s="3">
        <v>45078</v>
      </c>
      <c r="B668" s="4">
        <v>241.43</v>
      </c>
      <c r="C668" s="4">
        <v>251.43</v>
      </c>
    </row>
    <row r="669" spans="1:3" x14ac:dyDescent="0.25">
      <c r="A669" s="3">
        <v>45079</v>
      </c>
      <c r="B669" s="4">
        <v>241.99</v>
      </c>
      <c r="C669" s="4">
        <v>251.99</v>
      </c>
    </row>
    <row r="670" spans="1:3" x14ac:dyDescent="0.25">
      <c r="A670" s="3">
        <v>45080</v>
      </c>
      <c r="B670" s="4">
        <v>241.99</v>
      </c>
      <c r="C670" s="4">
        <v>251.99</v>
      </c>
    </row>
    <row r="671" spans="1:3" x14ac:dyDescent="0.25">
      <c r="A671" s="3">
        <v>45081</v>
      </c>
      <c r="B671" s="4">
        <v>241.99</v>
      </c>
      <c r="C671" s="4">
        <v>251.99</v>
      </c>
    </row>
    <row r="672" spans="1:3" x14ac:dyDescent="0.25">
      <c r="A672" s="3">
        <v>45082</v>
      </c>
      <c r="B672" s="4">
        <v>243.83</v>
      </c>
      <c r="C672" s="4">
        <v>253.83</v>
      </c>
    </row>
    <row r="673" spans="1:3" x14ac:dyDescent="0.25">
      <c r="A673" s="3">
        <v>45083</v>
      </c>
      <c r="B673" s="4">
        <v>244.7</v>
      </c>
      <c r="C673" s="4">
        <v>254.7</v>
      </c>
    </row>
    <row r="674" spans="1:3" x14ac:dyDescent="0.25">
      <c r="A674" s="3">
        <v>45084</v>
      </c>
      <c r="B674" s="4">
        <v>245.36</v>
      </c>
      <c r="C674" s="4">
        <v>255.36</v>
      </c>
    </row>
    <row r="675" spans="1:3" x14ac:dyDescent="0.25">
      <c r="A675" s="3">
        <v>45085</v>
      </c>
      <c r="B675" s="4">
        <v>246.09</v>
      </c>
      <c r="C675" s="4">
        <v>256.08999999999997</v>
      </c>
    </row>
    <row r="676" spans="1:3" x14ac:dyDescent="0.25">
      <c r="A676" s="3">
        <v>45086</v>
      </c>
      <c r="B676" s="4">
        <v>247.33</v>
      </c>
      <c r="C676" s="4">
        <v>257.33</v>
      </c>
    </row>
    <row r="677" spans="1:3" x14ac:dyDescent="0.25">
      <c r="A677" s="3">
        <v>45087</v>
      </c>
      <c r="B677" s="4">
        <v>247.33</v>
      </c>
      <c r="C677" s="4">
        <v>257.33</v>
      </c>
    </row>
    <row r="678" spans="1:3" x14ac:dyDescent="0.25">
      <c r="A678" s="3">
        <v>45088</v>
      </c>
      <c r="B678" s="4">
        <v>247.33</v>
      </c>
      <c r="C678" s="4">
        <v>257.33</v>
      </c>
    </row>
    <row r="679" spans="1:3" x14ac:dyDescent="0.25">
      <c r="A679" s="3">
        <v>45089</v>
      </c>
      <c r="B679" s="4">
        <v>248.52</v>
      </c>
      <c r="C679" s="4">
        <v>258.52</v>
      </c>
    </row>
    <row r="680" spans="1:3" x14ac:dyDescent="0.25">
      <c r="A680" s="3">
        <v>45090</v>
      </c>
      <c r="B680" s="4">
        <v>249.13</v>
      </c>
      <c r="C680" s="4">
        <v>259.13</v>
      </c>
    </row>
    <row r="681" spans="1:3" x14ac:dyDescent="0.25">
      <c r="A681" s="3">
        <v>45091</v>
      </c>
      <c r="B681" s="4">
        <v>249.85</v>
      </c>
      <c r="C681" s="4">
        <v>259.85000000000002</v>
      </c>
    </row>
    <row r="682" spans="1:3" x14ac:dyDescent="0.25">
      <c r="A682" s="3">
        <v>45092</v>
      </c>
      <c r="B682" s="4">
        <v>250.92</v>
      </c>
      <c r="C682" s="4">
        <v>260.92</v>
      </c>
    </row>
    <row r="683" spans="1:3" x14ac:dyDescent="0.25">
      <c r="A683" s="3">
        <v>45093</v>
      </c>
      <c r="B683" s="4">
        <v>251.59</v>
      </c>
      <c r="C683" s="4">
        <v>261.58999999999997</v>
      </c>
    </row>
    <row r="684" spans="1:3" x14ac:dyDescent="0.25">
      <c r="A684" s="3">
        <v>45094</v>
      </c>
      <c r="B684" s="4">
        <v>251.59</v>
      </c>
      <c r="C684" s="4">
        <v>261.58999999999997</v>
      </c>
    </row>
    <row r="685" spans="1:3" x14ac:dyDescent="0.25">
      <c r="A685" s="3">
        <v>45095</v>
      </c>
      <c r="B685" s="4">
        <v>251.59</v>
      </c>
      <c r="C685" s="4">
        <v>261.58999999999997</v>
      </c>
    </row>
    <row r="686" spans="1:3" x14ac:dyDescent="0.25">
      <c r="A686" s="3">
        <v>45096</v>
      </c>
      <c r="B686" s="4">
        <v>251.59</v>
      </c>
      <c r="C686" s="4">
        <v>261.58999999999997</v>
      </c>
    </row>
    <row r="687" spans="1:3" x14ac:dyDescent="0.25">
      <c r="A687" s="3">
        <v>45098</v>
      </c>
      <c r="B687" s="4">
        <v>254.24</v>
      </c>
      <c r="C687" s="4">
        <v>264.24</v>
      </c>
    </row>
    <row r="688" spans="1:3" x14ac:dyDescent="0.25">
      <c r="A688" s="3">
        <v>45099</v>
      </c>
      <c r="B688" s="4">
        <v>255.31</v>
      </c>
      <c r="C688" s="4">
        <v>265.31</v>
      </c>
    </row>
    <row r="689" spans="1:3" x14ac:dyDescent="0.25">
      <c r="A689" s="3">
        <v>45100</v>
      </c>
      <c r="B689" s="4">
        <v>255.95</v>
      </c>
      <c r="C689" s="4">
        <v>265.95</v>
      </c>
    </row>
    <row r="690" spans="1:3" x14ac:dyDescent="0.25">
      <c r="A690" s="3">
        <v>45101</v>
      </c>
      <c r="B690" s="4">
        <v>255.68</v>
      </c>
      <c r="C690" s="4">
        <v>265.68</v>
      </c>
    </row>
    <row r="691" spans="1:3" x14ac:dyDescent="0.25">
      <c r="A691" s="3">
        <v>45103</v>
      </c>
      <c r="B691" s="4">
        <v>257.22000000000003</v>
      </c>
      <c r="C691" s="4">
        <v>267.22000000000003</v>
      </c>
    </row>
    <row r="692" spans="1:3" x14ac:dyDescent="0.25">
      <c r="A692" s="3">
        <v>45104</v>
      </c>
      <c r="B692" s="4">
        <v>258.08999999999997</v>
      </c>
      <c r="C692" s="4">
        <v>268.08999999999997</v>
      </c>
    </row>
    <row r="693" spans="1:3" x14ac:dyDescent="0.25">
      <c r="A693" s="3">
        <v>45105</v>
      </c>
      <c r="B693" s="4">
        <v>258.08999999999997</v>
      </c>
      <c r="C693" s="4">
        <v>268.08999999999997</v>
      </c>
    </row>
    <row r="694" spans="1:3" x14ac:dyDescent="0.25">
      <c r="A694" s="3">
        <v>45106</v>
      </c>
      <c r="B694" s="4">
        <v>259.24</v>
      </c>
      <c r="C694" s="4">
        <v>269.24</v>
      </c>
    </row>
    <row r="695" spans="1:3" x14ac:dyDescent="0.25">
      <c r="A695" s="3">
        <v>45107</v>
      </c>
      <c r="B695" s="4">
        <v>260.16000000000003</v>
      </c>
      <c r="C695" s="4">
        <v>270.16000000000003</v>
      </c>
    </row>
    <row r="696" spans="1:3" x14ac:dyDescent="0.25">
      <c r="A696" s="3">
        <v>45108</v>
      </c>
      <c r="B696" s="4">
        <v>260.16000000000003</v>
      </c>
      <c r="C696" s="4">
        <v>270.16000000000003</v>
      </c>
    </row>
    <row r="697" spans="1:3" x14ac:dyDescent="0.25">
      <c r="A697" s="3">
        <v>45109</v>
      </c>
      <c r="B697" s="4">
        <v>260.16000000000003</v>
      </c>
      <c r="C697" s="4">
        <v>270.16000000000003</v>
      </c>
    </row>
    <row r="698" spans="1:3" x14ac:dyDescent="0.25">
      <c r="A698" s="3">
        <v>45110</v>
      </c>
      <c r="B698" s="4">
        <v>261.55</v>
      </c>
      <c r="C698" s="4">
        <v>271.55</v>
      </c>
    </row>
    <row r="699" spans="1:3" x14ac:dyDescent="0.25">
      <c r="A699" s="3">
        <v>45111</v>
      </c>
      <c r="B699" s="4">
        <v>262.06</v>
      </c>
      <c r="C699" s="4">
        <v>272.06</v>
      </c>
    </row>
    <row r="700" spans="1:3" x14ac:dyDescent="0.25">
      <c r="A700" s="3">
        <v>45112</v>
      </c>
      <c r="B700" s="4">
        <v>263.32</v>
      </c>
      <c r="C700" s="4">
        <v>273.32</v>
      </c>
    </row>
    <row r="701" spans="1:3" x14ac:dyDescent="0.25">
      <c r="A701" s="3">
        <v>45113</v>
      </c>
      <c r="B701" s="4">
        <v>263.70999999999998</v>
      </c>
      <c r="C701" s="4">
        <v>273.70999999999998</v>
      </c>
    </row>
    <row r="702" spans="1:3" x14ac:dyDescent="0.25">
      <c r="A702" s="3">
        <v>45114</v>
      </c>
      <c r="B702" s="4">
        <v>264.39</v>
      </c>
      <c r="C702" s="4">
        <v>274.39</v>
      </c>
    </row>
    <row r="703" spans="1:3" x14ac:dyDescent="0.25">
      <c r="A703" s="3">
        <v>45115</v>
      </c>
      <c r="B703" s="4">
        <v>264.39</v>
      </c>
      <c r="C703" s="4">
        <v>274.39</v>
      </c>
    </row>
    <row r="704" spans="1:3" x14ac:dyDescent="0.25">
      <c r="A704" s="3">
        <v>45116</v>
      </c>
      <c r="B704" s="4">
        <v>264.39</v>
      </c>
      <c r="C704" s="4">
        <v>274.39</v>
      </c>
    </row>
    <row r="705" spans="1:3" x14ac:dyDescent="0.25">
      <c r="A705" s="3">
        <v>45117</v>
      </c>
      <c r="B705" s="4">
        <v>265.81</v>
      </c>
      <c r="C705" s="4">
        <v>275.81</v>
      </c>
    </row>
    <row r="706" spans="1:3" x14ac:dyDescent="0.25">
      <c r="A706" s="3">
        <v>45118</v>
      </c>
      <c r="B706" s="4">
        <v>266.52999999999997</v>
      </c>
      <c r="C706" s="4">
        <v>276.52999999999997</v>
      </c>
    </row>
    <row r="707" spans="1:3" x14ac:dyDescent="0.25">
      <c r="A707" s="3">
        <v>45119</v>
      </c>
      <c r="B707" s="4">
        <v>266.89</v>
      </c>
      <c r="C707" s="4">
        <v>276.89</v>
      </c>
    </row>
    <row r="708" spans="1:3" x14ac:dyDescent="0.25">
      <c r="A708" s="3">
        <v>45120</v>
      </c>
      <c r="B708" s="4">
        <v>267.77</v>
      </c>
      <c r="C708" s="4">
        <v>277.77</v>
      </c>
    </row>
    <row r="709" spans="1:3" x14ac:dyDescent="0.25">
      <c r="A709" s="3">
        <v>45121</v>
      </c>
      <c r="B709" s="4">
        <v>268.47000000000003</v>
      </c>
      <c r="C709" s="4">
        <v>278.47000000000003</v>
      </c>
    </row>
    <row r="710" spans="1:3" x14ac:dyDescent="0.25">
      <c r="A710" s="3">
        <v>45122</v>
      </c>
      <c r="B710" s="4">
        <v>268.47000000000003</v>
      </c>
      <c r="C710" s="4">
        <v>278.47000000000003</v>
      </c>
    </row>
    <row r="711" spans="1:3" x14ac:dyDescent="0.25">
      <c r="A711" s="3">
        <v>45123</v>
      </c>
      <c r="B711" s="4">
        <v>268.47000000000003</v>
      </c>
      <c r="C711" s="4">
        <v>278.47000000000003</v>
      </c>
    </row>
    <row r="712" spans="1:3" x14ac:dyDescent="0.25">
      <c r="A712" s="3">
        <v>45124</v>
      </c>
      <c r="B712" s="4">
        <v>270.32</v>
      </c>
      <c r="C712" s="4">
        <v>280.32</v>
      </c>
    </row>
    <row r="713" spans="1:3" x14ac:dyDescent="0.25">
      <c r="A713" s="3">
        <v>45125</v>
      </c>
      <c r="B713" s="4">
        <v>270.58999999999997</v>
      </c>
      <c r="C713" s="4">
        <v>280.58999999999997</v>
      </c>
    </row>
    <row r="714" spans="1:3" x14ac:dyDescent="0.25">
      <c r="A714" s="3">
        <v>45126</v>
      </c>
      <c r="B714" s="4">
        <v>271.35000000000002</v>
      </c>
      <c r="C714" s="4">
        <v>281.35000000000002</v>
      </c>
    </row>
    <row r="715" spans="1:3" x14ac:dyDescent="0.25">
      <c r="A715" s="3">
        <v>45127</v>
      </c>
      <c r="B715" s="4">
        <v>271.66000000000003</v>
      </c>
      <c r="C715" s="4">
        <v>281.66000000000003</v>
      </c>
    </row>
    <row r="716" spans="1:3" x14ac:dyDescent="0.25">
      <c r="A716" s="3">
        <v>45128</v>
      </c>
      <c r="B716" s="4">
        <v>272.54000000000002</v>
      </c>
      <c r="C716" s="4">
        <v>282.54000000000002</v>
      </c>
    </row>
    <row r="717" spans="1:3" x14ac:dyDescent="0.25">
      <c r="A717" s="3">
        <v>45129</v>
      </c>
      <c r="B717" s="4">
        <v>272.54000000000002</v>
      </c>
      <c r="C717" s="4">
        <v>282.54000000000002</v>
      </c>
    </row>
    <row r="718" spans="1:3" x14ac:dyDescent="0.25">
      <c r="A718" s="3">
        <v>45130</v>
      </c>
      <c r="B718" s="4">
        <v>272.54000000000002</v>
      </c>
      <c r="C718" s="4">
        <v>282.54000000000002</v>
      </c>
    </row>
    <row r="719" spans="1:3" x14ac:dyDescent="0.25">
      <c r="A719" s="3">
        <v>45131</v>
      </c>
      <c r="B719" s="4">
        <v>274.37</v>
      </c>
      <c r="C719" s="4">
        <v>284.37</v>
      </c>
    </row>
    <row r="720" spans="1:3" x14ac:dyDescent="0.25">
      <c r="A720" s="3">
        <v>45132</v>
      </c>
      <c r="B720" s="4">
        <v>274.64999999999998</v>
      </c>
      <c r="C720" s="4">
        <v>284.64999999999998</v>
      </c>
    </row>
    <row r="721" spans="1:3" x14ac:dyDescent="0.25">
      <c r="A721" s="3">
        <v>45133</v>
      </c>
      <c r="B721" s="4">
        <v>275.2</v>
      </c>
      <c r="C721" s="4">
        <v>285.2</v>
      </c>
    </row>
    <row r="722" spans="1:3" x14ac:dyDescent="0.25">
      <c r="A722" s="3">
        <v>45134</v>
      </c>
      <c r="B722" s="4">
        <v>275.8</v>
      </c>
      <c r="C722" s="4">
        <v>285.8</v>
      </c>
    </row>
    <row r="723" spans="1:3" x14ac:dyDescent="0.25">
      <c r="A723" s="3">
        <v>45135</v>
      </c>
      <c r="B723" s="4">
        <v>276.56</v>
      </c>
      <c r="C723" s="4">
        <v>286.56</v>
      </c>
    </row>
    <row r="724" spans="1:3" x14ac:dyDescent="0.25">
      <c r="A724" s="3">
        <v>45136</v>
      </c>
      <c r="B724" s="4">
        <v>276.56</v>
      </c>
      <c r="C724" s="4">
        <v>286.56</v>
      </c>
    </row>
    <row r="725" spans="1:3" x14ac:dyDescent="0.25">
      <c r="A725" s="3">
        <v>45138</v>
      </c>
      <c r="B725" s="4">
        <v>277.92</v>
      </c>
      <c r="C725" s="4">
        <v>287.92</v>
      </c>
    </row>
    <row r="726" spans="1:3" x14ac:dyDescent="0.25">
      <c r="A726" s="3">
        <v>45139</v>
      </c>
      <c r="B726" s="4">
        <v>279.17</v>
      </c>
      <c r="C726" s="4">
        <v>289.17</v>
      </c>
    </row>
    <row r="727" spans="1:3" x14ac:dyDescent="0.25">
      <c r="A727" s="3">
        <v>45140</v>
      </c>
      <c r="B727" s="4">
        <v>280.27</v>
      </c>
      <c r="C727" s="4">
        <v>290.27</v>
      </c>
    </row>
    <row r="728" spans="1:3" x14ac:dyDescent="0.25">
      <c r="A728" s="3">
        <v>45141</v>
      </c>
      <c r="B728" s="4">
        <v>281.33</v>
      </c>
      <c r="C728" s="4">
        <v>291.33</v>
      </c>
    </row>
    <row r="729" spans="1:3" x14ac:dyDescent="0.25">
      <c r="A729" s="3">
        <v>45142</v>
      </c>
      <c r="B729" s="4">
        <v>282.2</v>
      </c>
      <c r="C729" s="4">
        <v>292.2</v>
      </c>
    </row>
    <row r="730" spans="1:3" x14ac:dyDescent="0.25">
      <c r="A730" s="3">
        <v>45143</v>
      </c>
      <c r="B730" s="4">
        <v>282.2</v>
      </c>
      <c r="C730" s="4">
        <v>292.2</v>
      </c>
    </row>
    <row r="731" spans="1:3" x14ac:dyDescent="0.25">
      <c r="A731" s="3">
        <v>45144</v>
      </c>
      <c r="B731" s="4">
        <v>282.2</v>
      </c>
      <c r="C731" s="4">
        <v>292.2</v>
      </c>
    </row>
    <row r="732" spans="1:3" x14ac:dyDescent="0.25">
      <c r="A732" s="3">
        <v>45145</v>
      </c>
      <c r="B732" s="4">
        <v>285.25</v>
      </c>
      <c r="C732" s="4">
        <v>295.25</v>
      </c>
    </row>
    <row r="733" spans="1:3" x14ac:dyDescent="0.25">
      <c r="A733" s="3">
        <v>45146</v>
      </c>
      <c r="B733" s="4">
        <v>286.52</v>
      </c>
      <c r="C733" s="4">
        <v>296.52</v>
      </c>
    </row>
    <row r="734" spans="1:3" x14ac:dyDescent="0.25">
      <c r="A734" s="3">
        <v>45147</v>
      </c>
      <c r="B734" s="4">
        <v>287.82</v>
      </c>
      <c r="C734" s="4">
        <v>297.82</v>
      </c>
    </row>
    <row r="735" spans="1:3" x14ac:dyDescent="0.25">
      <c r="A735" s="3">
        <v>45148</v>
      </c>
      <c r="B735" s="4">
        <v>288.81</v>
      </c>
      <c r="C735" s="4">
        <v>298.81</v>
      </c>
    </row>
    <row r="736" spans="1:3" x14ac:dyDescent="0.25">
      <c r="A736" s="3">
        <v>45149</v>
      </c>
      <c r="B736" s="4">
        <v>290.01</v>
      </c>
      <c r="C736" s="4">
        <v>300.01</v>
      </c>
    </row>
    <row r="737" spans="1:3" x14ac:dyDescent="0.25">
      <c r="A737" s="3">
        <v>45150</v>
      </c>
      <c r="B737" s="4">
        <v>290.01</v>
      </c>
      <c r="C737" s="4">
        <v>300.01</v>
      </c>
    </row>
    <row r="738" spans="1:3" x14ac:dyDescent="0.25">
      <c r="A738" s="3">
        <v>45151</v>
      </c>
      <c r="B738" s="4">
        <v>290.01</v>
      </c>
      <c r="C738" s="4">
        <v>300.01</v>
      </c>
    </row>
    <row r="739" spans="1:3" x14ac:dyDescent="0.25">
      <c r="A739" s="3">
        <v>45152</v>
      </c>
      <c r="B739" s="4">
        <v>356.18</v>
      </c>
      <c r="C739" s="4">
        <v>366.18</v>
      </c>
    </row>
    <row r="740" spans="1:3" x14ac:dyDescent="0.25">
      <c r="A740" s="3">
        <v>45153</v>
      </c>
      <c r="B740" s="4">
        <v>356.63</v>
      </c>
      <c r="C740" s="4">
        <v>366.63</v>
      </c>
    </row>
    <row r="741" spans="1:3" x14ac:dyDescent="0.25">
      <c r="A741" s="3">
        <v>45154</v>
      </c>
      <c r="B741" s="4">
        <v>356.89</v>
      </c>
      <c r="C741" s="4">
        <v>366.89</v>
      </c>
    </row>
    <row r="742" spans="1:3" x14ac:dyDescent="0.25">
      <c r="A742" s="3">
        <v>45155</v>
      </c>
      <c r="B742" s="4">
        <v>356.55</v>
      </c>
      <c r="C742" s="4">
        <v>366.55</v>
      </c>
    </row>
    <row r="743" spans="1:3" x14ac:dyDescent="0.25">
      <c r="A743" s="3">
        <v>45156</v>
      </c>
      <c r="B743" s="4">
        <v>356.57</v>
      </c>
      <c r="C743" s="4">
        <v>366.57</v>
      </c>
    </row>
    <row r="744" spans="1:3" x14ac:dyDescent="0.25">
      <c r="A744" s="3">
        <v>45157</v>
      </c>
      <c r="B744" s="4">
        <v>356.57</v>
      </c>
      <c r="C744" s="4">
        <v>366.57</v>
      </c>
    </row>
    <row r="745" spans="1:3" x14ac:dyDescent="0.25">
      <c r="A745" s="3">
        <v>45158</v>
      </c>
      <c r="B745" s="4">
        <v>356.57</v>
      </c>
      <c r="C745" s="4">
        <v>366.57</v>
      </c>
    </row>
    <row r="746" spans="1:3" x14ac:dyDescent="0.25">
      <c r="A746" s="3">
        <v>45159</v>
      </c>
      <c r="B746" s="4">
        <v>356.57</v>
      </c>
      <c r="C746" s="4">
        <v>366.57</v>
      </c>
    </row>
    <row r="747" spans="1:3" x14ac:dyDescent="0.25">
      <c r="A747" s="3">
        <v>45160</v>
      </c>
      <c r="B747" s="4">
        <v>357.03</v>
      </c>
      <c r="C747" s="4">
        <v>367.03</v>
      </c>
    </row>
    <row r="748" spans="1:3" x14ac:dyDescent="0.25">
      <c r="A748" s="3">
        <v>45161</v>
      </c>
      <c r="B748" s="4">
        <v>357.11</v>
      </c>
      <c r="C748" s="4">
        <v>367.11</v>
      </c>
    </row>
    <row r="749" spans="1:3" x14ac:dyDescent="0.25">
      <c r="A749" s="3">
        <v>45162</v>
      </c>
      <c r="B749" s="4">
        <v>357.37</v>
      </c>
      <c r="C749" s="4">
        <v>367.37</v>
      </c>
    </row>
    <row r="750" spans="1:3" x14ac:dyDescent="0.25">
      <c r="A750" s="3">
        <v>45163</v>
      </c>
      <c r="B750" s="4">
        <v>357</v>
      </c>
      <c r="C750" s="4">
        <v>367</v>
      </c>
    </row>
    <row r="751" spans="1:3" x14ac:dyDescent="0.25">
      <c r="A751" s="3">
        <v>45164</v>
      </c>
      <c r="B751" s="4">
        <v>357</v>
      </c>
      <c r="C751" s="4">
        <v>367</v>
      </c>
    </row>
    <row r="752" spans="1:3" x14ac:dyDescent="0.25">
      <c r="A752" s="3">
        <v>45165</v>
      </c>
      <c r="B752" s="4">
        <v>357</v>
      </c>
      <c r="C752" s="4">
        <v>367</v>
      </c>
    </row>
    <row r="753" spans="1:3" x14ac:dyDescent="0.25">
      <c r="A753" s="3">
        <v>45166</v>
      </c>
      <c r="B753" s="4">
        <v>357</v>
      </c>
      <c r="C753" s="4">
        <v>367</v>
      </c>
    </row>
    <row r="754" spans="1:3" x14ac:dyDescent="0.25">
      <c r="A754" s="3">
        <v>45167</v>
      </c>
      <c r="B754" s="4">
        <v>356.99</v>
      </c>
      <c r="C754" s="4">
        <v>366.99</v>
      </c>
    </row>
    <row r="755" spans="1:3" x14ac:dyDescent="0.25">
      <c r="A755" s="3">
        <v>45168</v>
      </c>
      <c r="B755" s="4">
        <v>357.09</v>
      </c>
      <c r="C755" s="4">
        <v>367.09</v>
      </c>
    </row>
    <row r="756" spans="1:3" x14ac:dyDescent="0.25">
      <c r="A756" s="3">
        <v>45169</v>
      </c>
      <c r="B756" s="4">
        <v>356.63</v>
      </c>
      <c r="C756" s="4">
        <v>366.63</v>
      </c>
    </row>
    <row r="757" spans="1:3" x14ac:dyDescent="0.25">
      <c r="A757" s="3">
        <v>45170</v>
      </c>
      <c r="B757" s="4">
        <v>347.02</v>
      </c>
      <c r="C757" s="4">
        <v>367.02</v>
      </c>
    </row>
    <row r="758" spans="1:3" x14ac:dyDescent="0.25">
      <c r="A758" s="3">
        <v>45171</v>
      </c>
      <c r="B758" s="4">
        <v>347.02</v>
      </c>
      <c r="C758" s="4">
        <v>367.02</v>
      </c>
    </row>
    <row r="759" spans="1:3" x14ac:dyDescent="0.25">
      <c r="A759" s="3">
        <v>45172</v>
      </c>
      <c r="B759" s="4">
        <v>347.02</v>
      </c>
      <c r="C759" s="4">
        <v>367.02</v>
      </c>
    </row>
    <row r="760" spans="1:3" x14ac:dyDescent="0.25">
      <c r="A760" s="3">
        <v>45173</v>
      </c>
      <c r="B760" s="4">
        <v>347.01</v>
      </c>
      <c r="C760" s="4">
        <v>367.01</v>
      </c>
    </row>
    <row r="761" spans="1:3" x14ac:dyDescent="0.25">
      <c r="A761" s="3">
        <v>45174</v>
      </c>
      <c r="B761" s="4">
        <v>347.01</v>
      </c>
      <c r="C761" s="4">
        <v>367.01</v>
      </c>
    </row>
    <row r="762" spans="1:3" x14ac:dyDescent="0.25">
      <c r="A762" s="3">
        <v>45175</v>
      </c>
      <c r="B762" s="4">
        <v>347.01</v>
      </c>
      <c r="C762" s="4">
        <v>367.01</v>
      </c>
    </row>
    <row r="763" spans="1:3" x14ac:dyDescent="0.25">
      <c r="A763" s="3">
        <v>45176</v>
      </c>
      <c r="B763" s="4">
        <v>347</v>
      </c>
      <c r="C763" s="4">
        <v>367</v>
      </c>
    </row>
    <row r="764" spans="1:3" x14ac:dyDescent="0.25">
      <c r="A764" s="3">
        <v>45177</v>
      </c>
      <c r="B764" s="4">
        <v>347.01</v>
      </c>
      <c r="C764" s="4">
        <v>367.01</v>
      </c>
    </row>
    <row r="765" spans="1:3" x14ac:dyDescent="0.25">
      <c r="A765" s="3">
        <v>45178</v>
      </c>
      <c r="B765" s="4">
        <v>347.01</v>
      </c>
      <c r="C765" s="4">
        <v>367.01</v>
      </c>
    </row>
    <row r="766" spans="1:3" x14ac:dyDescent="0.25">
      <c r="A766" s="3">
        <v>45179</v>
      </c>
      <c r="B766" s="4">
        <v>347.01</v>
      </c>
      <c r="C766" s="4">
        <v>367.01</v>
      </c>
    </row>
    <row r="767" spans="1:3" x14ac:dyDescent="0.25">
      <c r="A767" s="3">
        <v>45180</v>
      </c>
      <c r="B767" s="4">
        <v>347.02</v>
      </c>
      <c r="C767" s="4">
        <v>367.02</v>
      </c>
    </row>
    <row r="768" spans="1:3" x14ac:dyDescent="0.25">
      <c r="A768" s="3">
        <v>45181</v>
      </c>
      <c r="B768" s="4">
        <v>346.73</v>
      </c>
      <c r="C768" s="4">
        <v>366.73</v>
      </c>
    </row>
    <row r="769" spans="1:3" x14ac:dyDescent="0.25">
      <c r="A769" s="3">
        <v>45182</v>
      </c>
      <c r="B769" s="4">
        <v>346.72</v>
      </c>
      <c r="C769" s="4">
        <v>366.72</v>
      </c>
    </row>
    <row r="770" spans="1:3" x14ac:dyDescent="0.25">
      <c r="A770" s="3">
        <v>45183</v>
      </c>
      <c r="B770" s="4">
        <v>347.09</v>
      </c>
      <c r="C770" s="4">
        <v>367.09</v>
      </c>
    </row>
    <row r="771" spans="1:3" x14ac:dyDescent="0.25">
      <c r="A771" s="3">
        <v>45184</v>
      </c>
      <c r="B771" s="4">
        <v>347</v>
      </c>
      <c r="C771" s="4">
        <v>367</v>
      </c>
    </row>
    <row r="772" spans="1:3" x14ac:dyDescent="0.25">
      <c r="A772" s="3">
        <v>45185</v>
      </c>
      <c r="B772" s="4">
        <v>347</v>
      </c>
      <c r="C772" s="4">
        <v>367</v>
      </c>
    </row>
    <row r="773" spans="1:3" x14ac:dyDescent="0.25">
      <c r="A773" s="3">
        <v>45186</v>
      </c>
      <c r="B773" s="4">
        <v>347</v>
      </c>
      <c r="C773" s="4">
        <v>367</v>
      </c>
    </row>
    <row r="774" spans="1:3" x14ac:dyDescent="0.25">
      <c r="A774" s="3">
        <v>45187</v>
      </c>
      <c r="B774" s="4">
        <v>347.09</v>
      </c>
      <c r="C774" s="4">
        <v>367.09</v>
      </c>
    </row>
    <row r="775" spans="1:3" x14ac:dyDescent="0.25">
      <c r="A775" s="3">
        <v>45188</v>
      </c>
      <c r="B775" s="4">
        <v>346.64</v>
      </c>
      <c r="C775" s="4">
        <v>366.64</v>
      </c>
    </row>
    <row r="776" spans="1:3" x14ac:dyDescent="0.25">
      <c r="A776" s="3">
        <v>45189</v>
      </c>
      <c r="B776" s="4">
        <v>347</v>
      </c>
      <c r="C776" s="4">
        <v>367</v>
      </c>
    </row>
    <row r="777" spans="1:3" x14ac:dyDescent="0.25">
      <c r="A777" s="3">
        <v>45190</v>
      </c>
      <c r="B777" s="4">
        <v>347.09</v>
      </c>
      <c r="C777" s="4">
        <v>367.09</v>
      </c>
    </row>
    <row r="778" spans="1:3" x14ac:dyDescent="0.25">
      <c r="A778" s="3">
        <v>45191</v>
      </c>
      <c r="B778" s="4">
        <v>347.01</v>
      </c>
      <c r="C778" s="4">
        <v>367.01</v>
      </c>
    </row>
    <row r="779" spans="1:3" x14ac:dyDescent="0.25">
      <c r="A779" s="3">
        <v>45192</v>
      </c>
      <c r="B779" s="4">
        <v>347.01</v>
      </c>
      <c r="C779" s="4">
        <v>367.01</v>
      </c>
    </row>
    <row r="780" spans="1:3" x14ac:dyDescent="0.25">
      <c r="A780" s="3">
        <v>45193</v>
      </c>
      <c r="B780" s="4">
        <v>347.01</v>
      </c>
      <c r="C780" s="4">
        <v>367.01</v>
      </c>
    </row>
    <row r="781" spans="1:3" x14ac:dyDescent="0.25">
      <c r="A781" s="3">
        <v>45194</v>
      </c>
      <c r="B781" s="4">
        <v>346.98</v>
      </c>
      <c r="C781" s="4">
        <v>366.98</v>
      </c>
    </row>
    <row r="782" spans="1:3" x14ac:dyDescent="0.25">
      <c r="A782" s="3">
        <v>45195</v>
      </c>
      <c r="B782" s="4">
        <v>346.98</v>
      </c>
      <c r="C782" s="4">
        <v>366.98</v>
      </c>
    </row>
    <row r="783" spans="1:3" x14ac:dyDescent="0.25">
      <c r="A783" s="3">
        <v>45196</v>
      </c>
      <c r="B783" s="4">
        <v>346.64</v>
      </c>
      <c r="C783" s="4">
        <v>366.64</v>
      </c>
    </row>
    <row r="784" spans="1:3" x14ac:dyDescent="0.25">
      <c r="A784" s="3">
        <v>45197</v>
      </c>
      <c r="B784" s="4">
        <v>347</v>
      </c>
      <c r="C784" s="4">
        <v>367</v>
      </c>
    </row>
    <row r="785" spans="1:3" x14ac:dyDescent="0.25">
      <c r="A785" s="3">
        <v>45198</v>
      </c>
      <c r="B785" s="4">
        <v>347</v>
      </c>
      <c r="C785" s="4">
        <v>367</v>
      </c>
    </row>
    <row r="786" spans="1:3" x14ac:dyDescent="0.25">
      <c r="A786" s="3">
        <v>45199</v>
      </c>
      <c r="B786" s="4">
        <v>347</v>
      </c>
      <c r="C786" s="4">
        <v>367</v>
      </c>
    </row>
    <row r="787" spans="1:3" x14ac:dyDescent="0.25">
      <c r="A787" s="3">
        <v>45200</v>
      </c>
      <c r="B787" s="4">
        <v>347</v>
      </c>
      <c r="C787" s="4">
        <v>367</v>
      </c>
    </row>
    <row r="788" spans="1:3" x14ac:dyDescent="0.25">
      <c r="A788" s="3">
        <v>45201</v>
      </c>
      <c r="B788" s="4">
        <v>347.01</v>
      </c>
      <c r="C788" s="4">
        <v>367.01</v>
      </c>
    </row>
    <row r="789" spans="1:3" x14ac:dyDescent="0.25">
      <c r="A789" s="3">
        <v>45202</v>
      </c>
      <c r="B789" s="4">
        <v>347</v>
      </c>
      <c r="C789" s="4">
        <v>367</v>
      </c>
    </row>
    <row r="790" spans="1:3" x14ac:dyDescent="0.25">
      <c r="A790" s="3">
        <v>45203</v>
      </c>
      <c r="B790" s="4">
        <v>347.09</v>
      </c>
      <c r="C790" s="4">
        <v>367.09</v>
      </c>
    </row>
    <row r="791" spans="1:3" x14ac:dyDescent="0.25">
      <c r="A791" s="3">
        <v>45204</v>
      </c>
      <c r="B791" s="4">
        <v>347.09</v>
      </c>
      <c r="C791" s="4">
        <v>367.09</v>
      </c>
    </row>
    <row r="792" spans="1:3" x14ac:dyDescent="0.25">
      <c r="A792" s="3">
        <v>45205</v>
      </c>
      <c r="B792" s="4">
        <v>347.02</v>
      </c>
      <c r="C792" s="4">
        <v>367.02</v>
      </c>
    </row>
    <row r="793" spans="1:3" x14ac:dyDescent="0.25">
      <c r="A793" s="3">
        <v>45206</v>
      </c>
      <c r="B793" s="4">
        <v>347.02</v>
      </c>
      <c r="C793" s="4">
        <v>367.02</v>
      </c>
    </row>
    <row r="794" spans="1:3" x14ac:dyDescent="0.25">
      <c r="A794" s="3">
        <v>45207</v>
      </c>
      <c r="B794" s="4">
        <v>347.02</v>
      </c>
      <c r="C794" s="4">
        <v>367.02</v>
      </c>
    </row>
    <row r="795" spans="1:3" x14ac:dyDescent="0.25">
      <c r="A795" s="3">
        <v>45208</v>
      </c>
      <c r="B795" s="4">
        <v>347.18</v>
      </c>
      <c r="C795" s="4">
        <v>367.18</v>
      </c>
    </row>
    <row r="796" spans="1:3" x14ac:dyDescent="0.25">
      <c r="A796" s="3">
        <v>45209</v>
      </c>
      <c r="B796" s="4">
        <v>347.18</v>
      </c>
      <c r="C796" s="4">
        <v>367.18</v>
      </c>
    </row>
    <row r="797" spans="1:3" x14ac:dyDescent="0.25">
      <c r="A797" s="3">
        <v>45210</v>
      </c>
      <c r="B797" s="4">
        <v>347</v>
      </c>
      <c r="C797" s="4">
        <v>367</v>
      </c>
    </row>
    <row r="798" spans="1:3" x14ac:dyDescent="0.25">
      <c r="A798" s="3">
        <v>45211</v>
      </c>
      <c r="B798" s="4">
        <v>347.46</v>
      </c>
      <c r="C798" s="4">
        <v>367.46</v>
      </c>
    </row>
    <row r="799" spans="1:3" x14ac:dyDescent="0.25">
      <c r="A799" s="3">
        <v>45212</v>
      </c>
      <c r="B799" s="4">
        <v>347.46</v>
      </c>
      <c r="C799" s="4">
        <v>367.46</v>
      </c>
    </row>
    <row r="800" spans="1:3" x14ac:dyDescent="0.25">
      <c r="A800" s="3">
        <v>45213</v>
      </c>
      <c r="B800" s="4">
        <v>347.46</v>
      </c>
      <c r="C800" s="4">
        <v>367.46</v>
      </c>
    </row>
    <row r="801" spans="1:3" x14ac:dyDescent="0.25">
      <c r="A801" s="3">
        <v>45214</v>
      </c>
      <c r="B801" s="4">
        <v>347.46</v>
      </c>
      <c r="C801" s="4">
        <v>367.46</v>
      </c>
    </row>
    <row r="802" spans="1:3" x14ac:dyDescent="0.25">
      <c r="A802" s="3">
        <v>45215</v>
      </c>
      <c r="B802" s="4">
        <v>347.46</v>
      </c>
      <c r="C802" s="4">
        <v>367.46</v>
      </c>
    </row>
    <row r="803" spans="1:3" x14ac:dyDescent="0.25">
      <c r="A803" s="3">
        <v>45216</v>
      </c>
      <c r="B803" s="4">
        <v>347.59</v>
      </c>
      <c r="C803" s="4">
        <v>367.59</v>
      </c>
    </row>
    <row r="804" spans="1:3" x14ac:dyDescent="0.25">
      <c r="A804" s="3">
        <v>45217</v>
      </c>
      <c r="B804" s="4">
        <v>347.59</v>
      </c>
      <c r="C804" s="4">
        <v>367.59</v>
      </c>
    </row>
    <row r="805" spans="1:3" x14ac:dyDescent="0.25">
      <c r="A805" s="3">
        <v>45218</v>
      </c>
      <c r="B805" s="4">
        <v>347.17</v>
      </c>
      <c r="C805" s="4">
        <v>367.17</v>
      </c>
    </row>
    <row r="806" spans="1:3" x14ac:dyDescent="0.25">
      <c r="A806" s="3">
        <v>45219</v>
      </c>
      <c r="B806" s="4">
        <v>348.03</v>
      </c>
      <c r="C806" s="4">
        <v>368.03</v>
      </c>
    </row>
    <row r="807" spans="1:3" x14ac:dyDescent="0.25">
      <c r="A807" s="3">
        <v>45220</v>
      </c>
      <c r="B807" s="4">
        <v>348.03</v>
      </c>
      <c r="C807" s="4">
        <v>368.03</v>
      </c>
    </row>
    <row r="808" spans="1:3" x14ac:dyDescent="0.25">
      <c r="A808" s="3">
        <v>45221</v>
      </c>
      <c r="B808" s="4">
        <v>348.03</v>
      </c>
      <c r="C808" s="4">
        <v>368.03</v>
      </c>
    </row>
    <row r="809" spans="1:3" x14ac:dyDescent="0.25">
      <c r="A809" s="3">
        <v>45222</v>
      </c>
      <c r="B809" s="4">
        <v>347.91</v>
      </c>
      <c r="C809" s="4">
        <v>367.91</v>
      </c>
    </row>
    <row r="810" spans="1:3" x14ac:dyDescent="0.25">
      <c r="A810" s="3">
        <v>45223</v>
      </c>
      <c r="B810" s="4">
        <v>347.93</v>
      </c>
      <c r="C810" s="4">
        <v>367.93</v>
      </c>
    </row>
    <row r="811" spans="1:3" x14ac:dyDescent="0.25">
      <c r="A811" s="3">
        <v>45224</v>
      </c>
      <c r="B811" s="4">
        <v>347.72</v>
      </c>
      <c r="C811" s="4">
        <v>367.72</v>
      </c>
    </row>
    <row r="812" spans="1:3" x14ac:dyDescent="0.25">
      <c r="A812" s="3">
        <v>45225</v>
      </c>
      <c r="B812" s="4">
        <v>348.1</v>
      </c>
      <c r="C812" s="4">
        <v>368.1</v>
      </c>
    </row>
    <row r="813" spans="1:3" x14ac:dyDescent="0.25">
      <c r="A813" s="3">
        <v>45226</v>
      </c>
      <c r="B813" s="4">
        <v>347.93</v>
      </c>
      <c r="C813" s="4">
        <v>367.93</v>
      </c>
    </row>
    <row r="814" spans="1:3" x14ac:dyDescent="0.25">
      <c r="A814" s="3">
        <v>45227</v>
      </c>
      <c r="B814" s="4">
        <v>347.93</v>
      </c>
      <c r="C814" s="4">
        <v>367.93</v>
      </c>
    </row>
    <row r="815" spans="1:3" x14ac:dyDescent="0.25">
      <c r="A815" s="3">
        <v>45228</v>
      </c>
      <c r="B815" s="4">
        <v>347.93</v>
      </c>
      <c r="C815" s="4">
        <v>367.93</v>
      </c>
    </row>
    <row r="816" spans="1:3" x14ac:dyDescent="0.25">
      <c r="A816" s="3">
        <v>45229</v>
      </c>
      <c r="B816" s="4">
        <v>347.88</v>
      </c>
      <c r="C816" s="4">
        <v>367.88</v>
      </c>
    </row>
    <row r="817" spans="1:3" x14ac:dyDescent="0.25">
      <c r="A817" s="3">
        <v>45230</v>
      </c>
      <c r="B817" s="4">
        <v>347.94</v>
      </c>
      <c r="C817" s="4">
        <v>367.94</v>
      </c>
    </row>
    <row r="818" spans="1:3" x14ac:dyDescent="0.25">
      <c r="A818" s="3">
        <v>45231</v>
      </c>
      <c r="B818" s="4">
        <v>347.94</v>
      </c>
      <c r="C818" s="4">
        <v>367.94</v>
      </c>
    </row>
    <row r="819" spans="1:3" x14ac:dyDescent="0.25">
      <c r="A819" s="3">
        <v>45232</v>
      </c>
      <c r="B819" s="4">
        <v>348.05</v>
      </c>
      <c r="C819" s="4">
        <v>368.05</v>
      </c>
    </row>
    <row r="820" spans="1:3" x14ac:dyDescent="0.25">
      <c r="A820" s="3">
        <v>45233</v>
      </c>
      <c r="B820" s="4">
        <v>348.05</v>
      </c>
      <c r="C820" s="4">
        <v>368.05</v>
      </c>
    </row>
    <row r="821" spans="1:3" x14ac:dyDescent="0.25">
      <c r="A821" s="3">
        <v>45234</v>
      </c>
      <c r="B821" s="4">
        <v>348.05</v>
      </c>
      <c r="C821" s="4">
        <v>368.05</v>
      </c>
    </row>
    <row r="822" spans="1:3" x14ac:dyDescent="0.25">
      <c r="A822" s="3">
        <v>45235</v>
      </c>
      <c r="B822" s="4">
        <v>348.05</v>
      </c>
      <c r="C822" s="4">
        <v>368.05</v>
      </c>
    </row>
    <row r="823" spans="1:3" x14ac:dyDescent="0.25">
      <c r="A823" s="3">
        <v>45236</v>
      </c>
      <c r="B823" s="4">
        <v>348.05</v>
      </c>
      <c r="C823" s="4">
        <v>368.05</v>
      </c>
    </row>
    <row r="824" spans="1:3" x14ac:dyDescent="0.25">
      <c r="A824" s="3">
        <v>45237</v>
      </c>
      <c r="B824" s="4">
        <v>348.05</v>
      </c>
      <c r="C824" s="4">
        <v>368.05</v>
      </c>
    </row>
    <row r="825" spans="1:3" x14ac:dyDescent="0.25">
      <c r="A825" s="3">
        <v>45238</v>
      </c>
      <c r="B825" s="4">
        <v>348.05</v>
      </c>
      <c r="C825" s="4">
        <v>368.05</v>
      </c>
    </row>
    <row r="826" spans="1:3" x14ac:dyDescent="0.25">
      <c r="A826" s="3">
        <v>45239</v>
      </c>
      <c r="B826" s="4">
        <v>347.93</v>
      </c>
      <c r="C826" s="4">
        <v>367.93</v>
      </c>
    </row>
    <row r="827" spans="1:3" x14ac:dyDescent="0.25">
      <c r="A827" s="3">
        <v>45240</v>
      </c>
      <c r="B827" s="4">
        <v>348.05</v>
      </c>
      <c r="C827" s="4">
        <v>368.05</v>
      </c>
    </row>
    <row r="828" spans="1:3" x14ac:dyDescent="0.25">
      <c r="A828" s="3">
        <v>45241</v>
      </c>
      <c r="B828" s="4">
        <v>348.05</v>
      </c>
      <c r="C828" s="4">
        <v>368.05</v>
      </c>
    </row>
    <row r="829" spans="1:3" x14ac:dyDescent="0.25">
      <c r="A829" s="3">
        <v>45242</v>
      </c>
      <c r="B829" s="4">
        <v>348.05</v>
      </c>
      <c r="C829" s="4">
        <v>368.05</v>
      </c>
    </row>
    <row r="830" spans="1:3" x14ac:dyDescent="0.25">
      <c r="A830" s="3">
        <v>45243</v>
      </c>
      <c r="B830" s="4">
        <v>347.93</v>
      </c>
      <c r="C830" s="4">
        <v>367.93</v>
      </c>
    </row>
    <row r="831" spans="1:3" x14ac:dyDescent="0.25">
      <c r="A831" s="3">
        <v>45244</v>
      </c>
      <c r="B831" s="4">
        <v>347.93</v>
      </c>
      <c r="C831" s="4">
        <v>367.93</v>
      </c>
    </row>
    <row r="832" spans="1:3" x14ac:dyDescent="0.25">
      <c r="A832" s="3">
        <v>45245</v>
      </c>
      <c r="B832" s="4">
        <v>350.51</v>
      </c>
      <c r="C832" s="4">
        <v>370.51</v>
      </c>
    </row>
    <row r="833" spans="1:3" x14ac:dyDescent="0.25">
      <c r="A833" s="3">
        <v>45246</v>
      </c>
      <c r="B833" s="4">
        <v>350.94</v>
      </c>
      <c r="C833" s="4">
        <v>370.94</v>
      </c>
    </row>
    <row r="834" spans="1:3" x14ac:dyDescent="0.25">
      <c r="A834" s="3">
        <v>45247</v>
      </c>
      <c r="B834" s="4">
        <v>351.55</v>
      </c>
      <c r="C834" s="4">
        <v>371.55</v>
      </c>
    </row>
    <row r="835" spans="1:3" x14ac:dyDescent="0.25">
      <c r="A835" s="3">
        <v>45248</v>
      </c>
      <c r="B835" s="4">
        <v>351.55</v>
      </c>
      <c r="C835" s="4">
        <v>371.55</v>
      </c>
    </row>
    <row r="836" spans="1:3" x14ac:dyDescent="0.25">
      <c r="A836" s="3">
        <v>45249</v>
      </c>
      <c r="B836" s="4">
        <v>351.55</v>
      </c>
      <c r="C836" s="4">
        <v>371.55</v>
      </c>
    </row>
    <row r="837" spans="1:3" x14ac:dyDescent="0.25">
      <c r="A837" s="3">
        <v>45250</v>
      </c>
      <c r="B837" s="4">
        <v>351.55</v>
      </c>
      <c r="C837" s="4">
        <v>371.55</v>
      </c>
    </row>
    <row r="838" spans="1:3" x14ac:dyDescent="0.25">
      <c r="A838" s="3">
        <v>45251</v>
      </c>
      <c r="B838" s="4">
        <v>353.71</v>
      </c>
      <c r="C838" s="4">
        <v>373.71</v>
      </c>
    </row>
    <row r="839" spans="1:3" x14ac:dyDescent="0.25">
      <c r="A839" s="3">
        <v>45252</v>
      </c>
      <c r="B839" s="4">
        <v>354.33</v>
      </c>
      <c r="C839" s="4">
        <v>374.33</v>
      </c>
    </row>
    <row r="840" spans="1:3" x14ac:dyDescent="0.25">
      <c r="A840" s="3">
        <v>45253</v>
      </c>
      <c r="B840" s="4">
        <v>354.51</v>
      </c>
      <c r="C840" s="4">
        <v>374.51</v>
      </c>
    </row>
    <row r="841" spans="1:3" x14ac:dyDescent="0.25">
      <c r="A841" s="3">
        <v>45254</v>
      </c>
      <c r="B841" s="4">
        <v>355.38</v>
      </c>
      <c r="C841" s="4">
        <v>375.38</v>
      </c>
    </row>
    <row r="842" spans="1:3" x14ac:dyDescent="0.25">
      <c r="A842" s="3">
        <v>45255</v>
      </c>
      <c r="B842" s="4">
        <v>355.38</v>
      </c>
      <c r="C842" s="4">
        <v>375.38</v>
      </c>
    </row>
    <row r="843" spans="1:3" x14ac:dyDescent="0.25">
      <c r="A843" s="3">
        <v>45256</v>
      </c>
      <c r="B843" s="4">
        <v>355.38</v>
      </c>
      <c r="C843" s="4">
        <v>375.38</v>
      </c>
    </row>
    <row r="844" spans="1:3" x14ac:dyDescent="0.25">
      <c r="A844" s="3">
        <v>45257</v>
      </c>
      <c r="B844" s="4">
        <v>356.69</v>
      </c>
      <c r="C844" s="4">
        <v>376.69</v>
      </c>
    </row>
    <row r="845" spans="1:3" x14ac:dyDescent="0.25">
      <c r="A845" s="3">
        <v>45258</v>
      </c>
      <c r="B845" s="4">
        <v>357.55</v>
      </c>
      <c r="C845" s="4">
        <v>377.55</v>
      </c>
    </row>
    <row r="846" spans="1:3" x14ac:dyDescent="0.25">
      <c r="A846" s="3">
        <v>45259</v>
      </c>
      <c r="B846" s="4">
        <v>357.84</v>
      </c>
      <c r="C846" s="4">
        <v>377.84</v>
      </c>
    </row>
    <row r="847" spans="1:3" x14ac:dyDescent="0.25">
      <c r="A847" s="3">
        <v>45260</v>
      </c>
      <c r="B847" s="4">
        <v>358.37</v>
      </c>
      <c r="C847" s="4">
        <v>378.37</v>
      </c>
    </row>
    <row r="848" spans="1:3" x14ac:dyDescent="0.25">
      <c r="A848" s="3">
        <v>45261</v>
      </c>
      <c r="B848" s="4">
        <v>359.18</v>
      </c>
      <c r="C848" s="4">
        <v>379.18</v>
      </c>
    </row>
    <row r="849" spans="1:3" x14ac:dyDescent="0.25">
      <c r="A849" s="3">
        <v>45262</v>
      </c>
      <c r="B849" s="4">
        <v>359.18</v>
      </c>
      <c r="C849" s="4">
        <v>379.18</v>
      </c>
    </row>
    <row r="850" spans="1:3" x14ac:dyDescent="0.25">
      <c r="A850" s="3">
        <v>45263</v>
      </c>
      <c r="B850" s="4">
        <v>359.18</v>
      </c>
      <c r="C850" s="4">
        <v>379.18</v>
      </c>
    </row>
    <row r="851" spans="1:3" x14ac:dyDescent="0.25">
      <c r="A851" s="3">
        <v>45264</v>
      </c>
      <c r="B851" s="4">
        <v>360.37</v>
      </c>
      <c r="C851" s="4">
        <v>380.37</v>
      </c>
    </row>
    <row r="852" spans="1:3" x14ac:dyDescent="0.25">
      <c r="A852" s="3">
        <v>45265</v>
      </c>
      <c r="B852" s="4">
        <v>361</v>
      </c>
      <c r="C852" s="4">
        <v>381</v>
      </c>
    </row>
    <row r="853" spans="1:3" x14ac:dyDescent="0.25">
      <c r="A853" s="3">
        <v>45266</v>
      </c>
      <c r="B853" s="4">
        <v>361.31</v>
      </c>
      <c r="C853" s="4">
        <v>381.31</v>
      </c>
    </row>
    <row r="854" spans="1:3" x14ac:dyDescent="0.25">
      <c r="A854" s="3">
        <v>45267</v>
      </c>
      <c r="B854" s="4">
        <v>382.5</v>
      </c>
      <c r="C854" s="4">
        <v>400.5</v>
      </c>
    </row>
    <row r="855" spans="1:3" x14ac:dyDescent="0.25">
      <c r="A855" s="3">
        <v>45268</v>
      </c>
      <c r="B855" s="4">
        <v>382.5</v>
      </c>
      <c r="C855" s="4">
        <v>400.5</v>
      </c>
    </row>
    <row r="856" spans="1:3" x14ac:dyDescent="0.25">
      <c r="A856" s="3">
        <v>45269</v>
      </c>
      <c r="B856" s="4">
        <v>382.5</v>
      </c>
      <c r="C856" s="4">
        <v>400.5</v>
      </c>
    </row>
    <row r="857" spans="1:3" x14ac:dyDescent="0.25">
      <c r="A857" s="3">
        <v>45271</v>
      </c>
      <c r="B857" s="4">
        <v>382.4</v>
      </c>
      <c r="C857" s="4">
        <v>462.4</v>
      </c>
    </row>
    <row r="858" spans="1:3" x14ac:dyDescent="0.25">
      <c r="A858" s="3">
        <v>45272</v>
      </c>
      <c r="B858" s="4">
        <v>452.94</v>
      </c>
      <c r="C858" s="4">
        <v>587.57000000000005</v>
      </c>
    </row>
    <row r="859" spans="1:3" x14ac:dyDescent="0.25">
      <c r="A859" s="3">
        <v>45273</v>
      </c>
      <c r="B859" s="4">
        <v>773.97</v>
      </c>
      <c r="C859" s="4">
        <v>832.64</v>
      </c>
    </row>
    <row r="860" spans="1:3" x14ac:dyDescent="0.25">
      <c r="A860" s="3">
        <v>45274</v>
      </c>
      <c r="B860" s="4">
        <v>778.24</v>
      </c>
      <c r="C860" s="4">
        <v>837.91</v>
      </c>
    </row>
    <row r="861" spans="1:3" x14ac:dyDescent="0.25">
      <c r="A861" s="3">
        <v>45275</v>
      </c>
      <c r="B861" s="4">
        <v>782.53</v>
      </c>
      <c r="C861" s="4">
        <v>838.18</v>
      </c>
    </row>
    <row r="862" spans="1:3" x14ac:dyDescent="0.25">
      <c r="A862" s="3">
        <v>45276</v>
      </c>
      <c r="B862" s="4">
        <v>782.53</v>
      </c>
      <c r="C862" s="4">
        <v>838.18</v>
      </c>
    </row>
    <row r="863" spans="1:3" x14ac:dyDescent="0.25">
      <c r="A863" s="3">
        <v>45277</v>
      </c>
      <c r="B863" s="4">
        <v>782.53</v>
      </c>
      <c r="C863" s="4">
        <v>838.18</v>
      </c>
    </row>
    <row r="864" spans="1:3" x14ac:dyDescent="0.25">
      <c r="A864" s="3">
        <v>45278</v>
      </c>
      <c r="B864" s="4">
        <v>784.84</v>
      </c>
      <c r="C864" s="4">
        <v>840.23</v>
      </c>
    </row>
    <row r="865" spans="1:3" x14ac:dyDescent="0.25">
      <c r="A865" s="3">
        <v>45279</v>
      </c>
      <c r="B865" s="4">
        <v>785</v>
      </c>
      <c r="C865" s="4">
        <v>841.28</v>
      </c>
    </row>
    <row r="866" spans="1:3" x14ac:dyDescent="0.25">
      <c r="A866" s="3">
        <v>45280</v>
      </c>
      <c r="B866" s="4">
        <v>785.18</v>
      </c>
      <c r="C866" s="4">
        <v>841.46</v>
      </c>
    </row>
    <row r="867" spans="1:3" x14ac:dyDescent="0.25">
      <c r="A867" s="3">
        <v>45281</v>
      </c>
      <c r="B867" s="4">
        <v>786.4</v>
      </c>
      <c r="C867" s="4">
        <v>842.68</v>
      </c>
    </row>
    <row r="868" spans="1:3" x14ac:dyDescent="0.25">
      <c r="A868" s="3">
        <v>45282</v>
      </c>
      <c r="B868" s="4">
        <v>785.63</v>
      </c>
      <c r="C868" s="4">
        <v>843.78</v>
      </c>
    </row>
    <row r="869" spans="1:3" x14ac:dyDescent="0.25">
      <c r="A869" s="3">
        <v>45283</v>
      </c>
      <c r="B869" s="4">
        <v>785.63</v>
      </c>
      <c r="C869" s="4">
        <v>843.78</v>
      </c>
    </row>
    <row r="870" spans="1:3" x14ac:dyDescent="0.25">
      <c r="A870" s="3">
        <v>45284</v>
      </c>
      <c r="B870" s="4">
        <v>785.63</v>
      </c>
      <c r="C870" s="4">
        <v>843.78</v>
      </c>
    </row>
    <row r="871" spans="1:3" x14ac:dyDescent="0.25">
      <c r="A871" s="3">
        <v>45285</v>
      </c>
      <c r="B871" s="4">
        <v>785.63</v>
      </c>
      <c r="C871" s="4">
        <v>843.78</v>
      </c>
    </row>
    <row r="872" spans="1:3" x14ac:dyDescent="0.25">
      <c r="A872" s="3">
        <v>45286</v>
      </c>
      <c r="B872" s="4">
        <v>787.24</v>
      </c>
      <c r="C872" s="4">
        <v>843.55</v>
      </c>
    </row>
    <row r="873" spans="1:3" x14ac:dyDescent="0.25">
      <c r="A873" s="3">
        <v>45287</v>
      </c>
      <c r="B873" s="4">
        <v>787.55</v>
      </c>
      <c r="C873" s="4">
        <v>843.51</v>
      </c>
    </row>
    <row r="874" spans="1:3" x14ac:dyDescent="0.25">
      <c r="A874" s="3">
        <v>45288</v>
      </c>
      <c r="B874" s="4">
        <v>788.59</v>
      </c>
      <c r="C874" s="4">
        <v>844.66</v>
      </c>
    </row>
    <row r="875" spans="1:3" x14ac:dyDescent="0.25">
      <c r="A875" s="3">
        <v>45289</v>
      </c>
      <c r="B875" s="4">
        <v>790.44</v>
      </c>
      <c r="C875" s="4">
        <v>847.11</v>
      </c>
    </row>
    <row r="876" spans="1:3" x14ac:dyDescent="0.25">
      <c r="A876" s="3">
        <v>45290</v>
      </c>
      <c r="B876" s="4">
        <v>790.44</v>
      </c>
      <c r="C876" s="4">
        <v>847.11</v>
      </c>
    </row>
    <row r="877" spans="1:3" x14ac:dyDescent="0.25">
      <c r="A877" s="3">
        <v>45291</v>
      </c>
      <c r="B877" s="4">
        <v>790.44</v>
      </c>
      <c r="C877" s="4">
        <v>847.11</v>
      </c>
    </row>
    <row r="878" spans="1:3" x14ac:dyDescent="0.25">
      <c r="A878" s="3">
        <v>45292</v>
      </c>
      <c r="B878" s="4">
        <v>790.44</v>
      </c>
      <c r="C878" s="4">
        <v>847.11</v>
      </c>
    </row>
    <row r="879" spans="1:3" x14ac:dyDescent="0.25">
      <c r="A879" s="3">
        <v>45293</v>
      </c>
      <c r="B879" s="4">
        <v>793.03</v>
      </c>
      <c r="C879" s="4">
        <v>851.14</v>
      </c>
    </row>
    <row r="880" spans="1:3" x14ac:dyDescent="0.25">
      <c r="A880" s="3">
        <v>45294</v>
      </c>
      <c r="B880" s="4">
        <v>793.99</v>
      </c>
      <c r="C880" s="4">
        <v>852.69</v>
      </c>
    </row>
    <row r="881" spans="1:3" x14ac:dyDescent="0.25">
      <c r="A881" s="3">
        <v>45295</v>
      </c>
      <c r="B881" s="4">
        <v>794.55</v>
      </c>
      <c r="C881" s="4">
        <v>853.15</v>
      </c>
    </row>
    <row r="882" spans="1:3" x14ac:dyDescent="0.25">
      <c r="A882" s="3">
        <v>45296</v>
      </c>
      <c r="B882" s="4">
        <v>795.08</v>
      </c>
      <c r="C882" s="4">
        <v>852.99</v>
      </c>
    </row>
    <row r="883" spans="1:3" x14ac:dyDescent="0.25">
      <c r="A883" s="3">
        <v>45297</v>
      </c>
      <c r="B883" s="4">
        <v>795.08</v>
      </c>
      <c r="C883" s="4">
        <v>852.99</v>
      </c>
    </row>
    <row r="884" spans="1:3" x14ac:dyDescent="0.25">
      <c r="A884" s="3">
        <v>45298</v>
      </c>
      <c r="B884" s="4">
        <v>795.08</v>
      </c>
      <c r="C884" s="4">
        <v>852.99</v>
      </c>
    </row>
    <row r="885" spans="1:3" x14ac:dyDescent="0.25">
      <c r="A885" s="3">
        <v>45299</v>
      </c>
      <c r="B885" s="4">
        <v>798.35</v>
      </c>
      <c r="C885" s="4">
        <v>857.62</v>
      </c>
    </row>
    <row r="886" spans="1:3" x14ac:dyDescent="0.25">
      <c r="A886" s="3">
        <v>45300</v>
      </c>
      <c r="B886" s="4">
        <v>799.73</v>
      </c>
      <c r="C886" s="4">
        <v>859</v>
      </c>
    </row>
    <row r="887" spans="1:3" x14ac:dyDescent="0.25">
      <c r="A887" s="3">
        <v>45301</v>
      </c>
      <c r="B887" s="4">
        <v>800.01</v>
      </c>
      <c r="C887" s="4">
        <v>859.28</v>
      </c>
    </row>
    <row r="888" spans="1:3" x14ac:dyDescent="0.25">
      <c r="A888" s="3">
        <v>45302</v>
      </c>
      <c r="B888" s="4">
        <v>801.22</v>
      </c>
      <c r="C888" s="4">
        <v>860.49</v>
      </c>
    </row>
    <row r="889" spans="1:3" x14ac:dyDescent="0.25">
      <c r="A889" s="3">
        <v>45303</v>
      </c>
      <c r="B889" s="4">
        <v>801.38</v>
      </c>
      <c r="C889" s="4">
        <v>860.65</v>
      </c>
    </row>
    <row r="890" spans="1:3" x14ac:dyDescent="0.25">
      <c r="A890" s="3">
        <v>45304</v>
      </c>
      <c r="B890" s="4">
        <v>801.38</v>
      </c>
      <c r="C890" s="4">
        <v>860.65</v>
      </c>
    </row>
    <row r="891" spans="1:3" x14ac:dyDescent="0.25">
      <c r="A891" s="3">
        <v>45305</v>
      </c>
      <c r="B891" s="4">
        <v>801.38</v>
      </c>
      <c r="C891" s="4">
        <v>860.65</v>
      </c>
    </row>
    <row r="892" spans="1:3" x14ac:dyDescent="0.25">
      <c r="A892" s="3">
        <v>45306</v>
      </c>
      <c r="B892" s="4">
        <v>804.36</v>
      </c>
      <c r="C892" s="4">
        <v>863.62</v>
      </c>
    </row>
    <row r="893" spans="1:3" x14ac:dyDescent="0.25">
      <c r="A893" s="3">
        <v>45307</v>
      </c>
      <c r="B893" s="4">
        <v>805.38</v>
      </c>
      <c r="C893" s="4">
        <v>864.65</v>
      </c>
    </row>
    <row r="894" spans="1:3" x14ac:dyDescent="0.25">
      <c r="A894" s="3">
        <v>45308</v>
      </c>
      <c r="B894" s="4">
        <v>806.96</v>
      </c>
      <c r="C894" s="4">
        <v>866.2</v>
      </c>
    </row>
    <row r="895" spans="1:3" x14ac:dyDescent="0.25">
      <c r="A895" s="3">
        <v>45309</v>
      </c>
      <c r="B895" s="4">
        <v>807.2</v>
      </c>
      <c r="C895" s="4">
        <v>866.51</v>
      </c>
    </row>
    <row r="896" spans="1:3" x14ac:dyDescent="0.25">
      <c r="A896" s="3">
        <v>45310</v>
      </c>
      <c r="B896" s="4">
        <v>808.08</v>
      </c>
      <c r="C896" s="4">
        <v>868.8</v>
      </c>
    </row>
    <row r="897" spans="1:3" x14ac:dyDescent="0.25">
      <c r="A897" s="3">
        <v>45311</v>
      </c>
      <c r="B897" s="4">
        <v>808.08</v>
      </c>
      <c r="C897" s="4">
        <v>868.8</v>
      </c>
    </row>
    <row r="898" spans="1:3" x14ac:dyDescent="0.25">
      <c r="A898" s="3">
        <v>45312</v>
      </c>
      <c r="B898" s="4">
        <v>808.08</v>
      </c>
      <c r="C898" s="4">
        <v>868.8</v>
      </c>
    </row>
    <row r="899" spans="1:3" x14ac:dyDescent="0.25">
      <c r="A899" s="3">
        <v>45313</v>
      </c>
      <c r="B899" s="4">
        <v>808.08</v>
      </c>
      <c r="C899" s="4">
        <v>868.8</v>
      </c>
    </row>
    <row r="900" spans="1:3" x14ac:dyDescent="0.25">
      <c r="A900" s="3">
        <v>45314</v>
      </c>
      <c r="B900" s="4">
        <v>810.65</v>
      </c>
      <c r="C900" s="4">
        <v>869.92</v>
      </c>
    </row>
    <row r="901" spans="1:3" x14ac:dyDescent="0.25">
      <c r="A901" s="3">
        <v>45315</v>
      </c>
      <c r="B901" s="4">
        <v>811.12</v>
      </c>
      <c r="C901" s="4">
        <v>870.63</v>
      </c>
    </row>
    <row r="902" spans="1:3" x14ac:dyDescent="0.25">
      <c r="A902" s="3">
        <v>45316</v>
      </c>
      <c r="B902" s="4">
        <v>811.46</v>
      </c>
      <c r="C902" s="4">
        <v>870.05</v>
      </c>
    </row>
    <row r="903" spans="1:3" x14ac:dyDescent="0.25">
      <c r="A903" s="3">
        <v>45317</v>
      </c>
      <c r="B903" s="4">
        <v>811.46</v>
      </c>
      <c r="C903" s="4">
        <v>870.05</v>
      </c>
    </row>
    <row r="904" spans="1:3" x14ac:dyDescent="0.25">
      <c r="A904" s="3">
        <v>45318</v>
      </c>
      <c r="B904" s="4">
        <v>813.34</v>
      </c>
      <c r="C904" s="4">
        <v>871.96</v>
      </c>
    </row>
    <row r="905" spans="1:3" x14ac:dyDescent="0.25">
      <c r="A905" s="3">
        <v>45319</v>
      </c>
      <c r="B905" s="4">
        <v>814.87</v>
      </c>
      <c r="C905" s="4">
        <v>873.5</v>
      </c>
    </row>
    <row r="906" spans="1:3" x14ac:dyDescent="0.25">
      <c r="A906" s="3">
        <v>45320</v>
      </c>
      <c r="B906" s="4">
        <v>815.96</v>
      </c>
      <c r="C906" s="4">
        <v>875.54</v>
      </c>
    </row>
    <row r="907" spans="1:3" x14ac:dyDescent="0.25">
      <c r="A907" s="3">
        <v>45321</v>
      </c>
      <c r="B907" s="4">
        <v>815.96</v>
      </c>
      <c r="C907" s="4">
        <v>875.54</v>
      </c>
    </row>
    <row r="908" spans="1:3" x14ac:dyDescent="0.25">
      <c r="A908" s="3">
        <v>45322</v>
      </c>
      <c r="B908" s="4">
        <v>816.08</v>
      </c>
      <c r="C908" s="4">
        <v>875.65</v>
      </c>
    </row>
    <row r="909" spans="1:3" x14ac:dyDescent="0.25">
      <c r="A909" s="3">
        <v>45323</v>
      </c>
      <c r="B909" s="4">
        <v>816.39</v>
      </c>
      <c r="C909" s="4">
        <v>872.89</v>
      </c>
    </row>
    <row r="910" spans="1:3" x14ac:dyDescent="0.25">
      <c r="A910" s="3">
        <v>45324</v>
      </c>
      <c r="B910" s="4">
        <v>817.18</v>
      </c>
      <c r="C910" s="4">
        <v>876.62</v>
      </c>
    </row>
    <row r="911" spans="1:3" x14ac:dyDescent="0.25">
      <c r="A911" s="3">
        <v>45325</v>
      </c>
      <c r="B911" s="4">
        <v>817.18</v>
      </c>
      <c r="C911" s="4">
        <v>876.62</v>
      </c>
    </row>
    <row r="912" spans="1:3" x14ac:dyDescent="0.25">
      <c r="A912" s="3">
        <v>45326</v>
      </c>
      <c r="B912" s="4">
        <v>817.18</v>
      </c>
      <c r="C912" s="4">
        <v>876.62</v>
      </c>
    </row>
    <row r="913" spans="1:3" x14ac:dyDescent="0.25">
      <c r="A913" s="3">
        <v>45327</v>
      </c>
      <c r="B913" s="4">
        <v>818.62</v>
      </c>
      <c r="C913" s="4">
        <v>884.54</v>
      </c>
    </row>
    <row r="914" spans="1:3" x14ac:dyDescent="0.25">
      <c r="A914" s="3">
        <v>45328</v>
      </c>
      <c r="B914" s="4">
        <v>817.8</v>
      </c>
      <c r="C914" s="4">
        <v>876.88</v>
      </c>
    </row>
    <row r="915" spans="1:3" x14ac:dyDescent="0.25">
      <c r="A915" s="3">
        <v>45329</v>
      </c>
      <c r="B915" s="4">
        <v>819.04</v>
      </c>
      <c r="C915" s="4">
        <v>878.13</v>
      </c>
    </row>
    <row r="916" spans="1:3" x14ac:dyDescent="0.25">
      <c r="A916" s="3">
        <v>45330</v>
      </c>
      <c r="B916" s="4">
        <v>818.81</v>
      </c>
      <c r="C916" s="4">
        <v>877.91</v>
      </c>
    </row>
    <row r="917" spans="1:3" x14ac:dyDescent="0.25">
      <c r="A917" s="3">
        <v>45331</v>
      </c>
      <c r="B917" s="4">
        <v>819.22</v>
      </c>
      <c r="C917" s="4">
        <v>878.35</v>
      </c>
    </row>
    <row r="918" spans="1:3" x14ac:dyDescent="0.25">
      <c r="A918" s="3">
        <v>45332</v>
      </c>
      <c r="B918" s="4">
        <v>819.2</v>
      </c>
      <c r="C918" s="4">
        <v>878.12</v>
      </c>
    </row>
    <row r="919" spans="1:3" x14ac:dyDescent="0.25">
      <c r="A919" s="3">
        <v>45333</v>
      </c>
      <c r="B919" s="4">
        <v>820.21</v>
      </c>
      <c r="C919" s="4">
        <v>879.33</v>
      </c>
    </row>
    <row r="920" spans="1:3" x14ac:dyDescent="0.25">
      <c r="A920" s="3">
        <v>45334</v>
      </c>
      <c r="B920" s="4">
        <v>821.49</v>
      </c>
      <c r="C920" s="4">
        <v>880.59</v>
      </c>
    </row>
    <row r="921" spans="1:3" x14ac:dyDescent="0.25">
      <c r="A921" s="3">
        <v>45335</v>
      </c>
      <c r="B921" s="4">
        <v>821.66</v>
      </c>
      <c r="C921" s="4">
        <v>880.59</v>
      </c>
    </row>
    <row r="922" spans="1:3" x14ac:dyDescent="0.25">
      <c r="A922" s="3">
        <v>45336</v>
      </c>
      <c r="B922" s="4">
        <v>821.49</v>
      </c>
      <c r="C922" s="4">
        <v>880.59</v>
      </c>
    </row>
    <row r="923" spans="1:3" x14ac:dyDescent="0.25">
      <c r="A923" s="3">
        <v>45337</v>
      </c>
      <c r="B923" s="4">
        <v>821.85</v>
      </c>
      <c r="C923" s="4">
        <v>880.73</v>
      </c>
    </row>
    <row r="924" spans="1:3" x14ac:dyDescent="0.25">
      <c r="A924" s="3">
        <v>45338</v>
      </c>
      <c r="B924" s="4">
        <v>821.64</v>
      </c>
      <c r="C924" s="4">
        <v>880.93</v>
      </c>
    </row>
    <row r="925" spans="1:3" x14ac:dyDescent="0.25">
      <c r="A925" s="3">
        <v>45339</v>
      </c>
      <c r="B925" s="4">
        <v>821.64</v>
      </c>
      <c r="C925" s="4">
        <v>880.93</v>
      </c>
    </row>
    <row r="926" spans="1:3" x14ac:dyDescent="0.25">
      <c r="A926" s="3">
        <v>45340</v>
      </c>
      <c r="B926" s="4">
        <v>821.64</v>
      </c>
      <c r="C926" s="4">
        <v>880.93</v>
      </c>
    </row>
    <row r="927" spans="1:3" x14ac:dyDescent="0.25">
      <c r="A927" s="3">
        <v>45341</v>
      </c>
      <c r="B927" s="4">
        <v>831.18</v>
      </c>
      <c r="C927" s="4">
        <v>882.28</v>
      </c>
    </row>
    <row r="928" spans="1:3" x14ac:dyDescent="0.25">
      <c r="A928" s="3">
        <v>45342</v>
      </c>
      <c r="B928" s="4">
        <v>823.36</v>
      </c>
      <c r="C928" s="4">
        <v>882.45</v>
      </c>
    </row>
    <row r="929" spans="1:3" x14ac:dyDescent="0.25">
      <c r="A929" s="3">
        <v>45343</v>
      </c>
      <c r="B929" s="4">
        <v>823.7</v>
      </c>
      <c r="C929" s="4">
        <v>882.79</v>
      </c>
    </row>
    <row r="930" spans="1:3" x14ac:dyDescent="0.25">
      <c r="A930" s="3">
        <v>45344</v>
      </c>
      <c r="B930" s="4">
        <v>823.68</v>
      </c>
      <c r="C930" s="4">
        <v>882.95</v>
      </c>
    </row>
    <row r="931" spans="1:3" x14ac:dyDescent="0.25">
      <c r="A931" s="3">
        <v>45345</v>
      </c>
      <c r="B931" s="4">
        <v>824.55</v>
      </c>
      <c r="C931" s="4">
        <v>883.83</v>
      </c>
    </row>
    <row r="932" spans="1:3" x14ac:dyDescent="0.25">
      <c r="A932" s="3">
        <v>45346</v>
      </c>
      <c r="B932" s="4">
        <v>824.55</v>
      </c>
      <c r="C932" s="4">
        <v>883.83</v>
      </c>
    </row>
    <row r="933" spans="1:3" x14ac:dyDescent="0.25">
      <c r="A933" s="3">
        <v>45347</v>
      </c>
      <c r="B933" s="4">
        <v>824.55</v>
      </c>
      <c r="C933" s="4">
        <v>883.83</v>
      </c>
    </row>
    <row r="934" spans="1:3" x14ac:dyDescent="0.25">
      <c r="A934" s="3">
        <v>45348</v>
      </c>
      <c r="B934" s="4">
        <v>826.11</v>
      </c>
      <c r="C934" s="4">
        <v>885.4</v>
      </c>
    </row>
    <row r="935" spans="1:3" x14ac:dyDescent="0.25">
      <c r="A935" s="3">
        <v>45349</v>
      </c>
      <c r="B935" s="4">
        <v>827.1</v>
      </c>
      <c r="C935" s="4">
        <v>885.4</v>
      </c>
    </row>
    <row r="936" spans="1:3" x14ac:dyDescent="0.25">
      <c r="A936" s="3">
        <v>45350</v>
      </c>
      <c r="B936" s="4">
        <v>827.83</v>
      </c>
      <c r="C936" s="4">
        <v>888.7</v>
      </c>
    </row>
    <row r="937" spans="1:3" x14ac:dyDescent="0.25">
      <c r="A937" s="3">
        <v>45351</v>
      </c>
      <c r="B937" s="4">
        <v>828.21</v>
      </c>
      <c r="C937" s="4">
        <v>888.7</v>
      </c>
    </row>
    <row r="938" spans="1:3" x14ac:dyDescent="0.25">
      <c r="A938" s="3">
        <v>45352</v>
      </c>
      <c r="B938" s="4">
        <v>828.21</v>
      </c>
      <c r="C938" s="4">
        <v>888.7</v>
      </c>
    </row>
    <row r="939" spans="1:3" x14ac:dyDescent="0.25">
      <c r="A939" s="3">
        <v>45353</v>
      </c>
      <c r="B939" s="4">
        <v>828.21</v>
      </c>
      <c r="C939" s="4">
        <v>888.7</v>
      </c>
    </row>
    <row r="940" spans="1:3" x14ac:dyDescent="0.25">
      <c r="A940" s="3">
        <v>45354</v>
      </c>
      <c r="B940" s="4">
        <v>828.21</v>
      </c>
      <c r="C940" s="4">
        <v>888.7</v>
      </c>
    </row>
    <row r="941" spans="1:3" x14ac:dyDescent="0.25">
      <c r="A941" s="3">
        <v>45355</v>
      </c>
      <c r="B941" s="4">
        <v>829.69</v>
      </c>
      <c r="C941" s="4">
        <v>888.22</v>
      </c>
    </row>
    <row r="942" spans="1:3" x14ac:dyDescent="0.25">
      <c r="A942" s="3">
        <v>45356</v>
      </c>
      <c r="B942" s="4">
        <v>832.63</v>
      </c>
      <c r="C942" s="4">
        <v>892.34</v>
      </c>
    </row>
    <row r="943" spans="1:3" x14ac:dyDescent="0.25">
      <c r="A943" s="3">
        <v>45357</v>
      </c>
      <c r="B943" s="4">
        <v>832.1</v>
      </c>
      <c r="C943" s="4">
        <v>892.34</v>
      </c>
    </row>
    <row r="944" spans="1:3" x14ac:dyDescent="0.25">
      <c r="A944" s="3">
        <v>45358</v>
      </c>
      <c r="B944" s="4">
        <v>832.1</v>
      </c>
      <c r="C944" s="4">
        <v>892.34</v>
      </c>
    </row>
    <row r="945" spans="1:3" x14ac:dyDescent="0.25">
      <c r="A945" s="3">
        <v>45359</v>
      </c>
      <c r="B945" s="4">
        <v>832.1</v>
      </c>
      <c r="C945" s="4">
        <v>892.34</v>
      </c>
    </row>
    <row r="946" spans="1:3" x14ac:dyDescent="0.25">
      <c r="A946" s="3">
        <v>45360</v>
      </c>
      <c r="B946" s="4">
        <v>832.1</v>
      </c>
      <c r="C946" s="4">
        <v>892.34</v>
      </c>
    </row>
    <row r="947" spans="1:3" x14ac:dyDescent="0.25">
      <c r="A947" s="3">
        <v>45361</v>
      </c>
      <c r="B947" s="4">
        <v>832.1</v>
      </c>
      <c r="C947" s="4">
        <v>892.34</v>
      </c>
    </row>
    <row r="948" spans="1:3" x14ac:dyDescent="0.25">
      <c r="A948" s="3">
        <v>45362</v>
      </c>
      <c r="B948" s="4">
        <v>835.62</v>
      </c>
      <c r="C948" s="4">
        <v>894.34</v>
      </c>
    </row>
    <row r="949" spans="1:3" x14ac:dyDescent="0.25">
      <c r="A949" s="3">
        <v>45363</v>
      </c>
      <c r="B949" s="4">
        <v>836.44</v>
      </c>
      <c r="C949" s="4">
        <v>894.5</v>
      </c>
    </row>
    <row r="950" spans="1:3" x14ac:dyDescent="0.25">
      <c r="A950" s="3">
        <v>45364</v>
      </c>
      <c r="B950" s="4">
        <v>836.21</v>
      </c>
      <c r="C950" s="4">
        <v>894.95</v>
      </c>
    </row>
    <row r="951" spans="1:3" x14ac:dyDescent="0.25">
      <c r="A951" s="3">
        <v>45365</v>
      </c>
      <c r="B951" s="4">
        <v>837</v>
      </c>
      <c r="C951" s="4">
        <v>895.56</v>
      </c>
    </row>
    <row r="952" spans="1:3" x14ac:dyDescent="0.25">
      <c r="A952" s="3">
        <v>45366</v>
      </c>
      <c r="B952" s="4">
        <v>837.08</v>
      </c>
      <c r="C952" s="4">
        <v>895.53</v>
      </c>
    </row>
    <row r="953" spans="1:3" x14ac:dyDescent="0.25">
      <c r="A953" s="3">
        <v>45367</v>
      </c>
      <c r="B953" s="4">
        <v>837</v>
      </c>
      <c r="C953" s="4">
        <v>895.56</v>
      </c>
    </row>
    <row r="954" spans="1:3" x14ac:dyDescent="0.25">
      <c r="A954" s="3">
        <v>45369</v>
      </c>
      <c r="B954" s="4">
        <v>838.16</v>
      </c>
      <c r="C954" s="4">
        <v>896.91</v>
      </c>
    </row>
    <row r="955" spans="1:3" x14ac:dyDescent="0.25">
      <c r="A955" s="3">
        <v>45370</v>
      </c>
      <c r="B955" s="4">
        <v>839.97</v>
      </c>
      <c r="C955" s="4">
        <v>898.48</v>
      </c>
    </row>
    <row r="956" spans="1:3" x14ac:dyDescent="0.25">
      <c r="A956" s="3">
        <v>45371</v>
      </c>
      <c r="B956" s="4">
        <v>840.14</v>
      </c>
      <c r="C956" s="4">
        <v>898.44</v>
      </c>
    </row>
    <row r="957" spans="1:3" x14ac:dyDescent="0.25">
      <c r="A957" s="3">
        <v>45372</v>
      </c>
      <c r="B957" s="4">
        <v>840.32</v>
      </c>
      <c r="C957" s="4">
        <v>898.83</v>
      </c>
    </row>
    <row r="958" spans="1:3" x14ac:dyDescent="0.25">
      <c r="A958" s="3">
        <v>45373</v>
      </c>
      <c r="B958" s="4">
        <v>840.57</v>
      </c>
      <c r="C958" s="4">
        <v>898.87</v>
      </c>
    </row>
    <row r="959" spans="1:3" x14ac:dyDescent="0.25">
      <c r="A959" s="3">
        <v>45374</v>
      </c>
      <c r="B959" s="4">
        <v>840.57</v>
      </c>
      <c r="C959" s="4">
        <v>898.87</v>
      </c>
    </row>
    <row r="960" spans="1:3" x14ac:dyDescent="0.25">
      <c r="A960" s="3">
        <v>45375</v>
      </c>
      <c r="B960" s="4">
        <v>840.57</v>
      </c>
      <c r="C960" s="4">
        <v>898.87</v>
      </c>
    </row>
    <row r="961" spans="1:3" x14ac:dyDescent="0.25">
      <c r="A961" s="3">
        <v>45376</v>
      </c>
      <c r="B961" s="4">
        <v>841.91</v>
      </c>
      <c r="C961" s="4">
        <v>900.42</v>
      </c>
    </row>
    <row r="962" spans="1:3" x14ac:dyDescent="0.25">
      <c r="A962" s="3">
        <v>45377</v>
      </c>
      <c r="B962" s="4">
        <v>843.24</v>
      </c>
      <c r="C962" s="4">
        <v>901.75</v>
      </c>
    </row>
    <row r="963" spans="1:3" x14ac:dyDescent="0.25">
      <c r="A963" s="3">
        <v>45378</v>
      </c>
      <c r="B963" s="4">
        <v>843.36</v>
      </c>
      <c r="C963" s="4">
        <v>901.63</v>
      </c>
    </row>
    <row r="964" spans="1:3" x14ac:dyDescent="0.25">
      <c r="A964" s="3">
        <v>45379</v>
      </c>
      <c r="B964" s="4">
        <v>843.36</v>
      </c>
      <c r="C964" s="4">
        <v>901.63</v>
      </c>
    </row>
    <row r="965" spans="1:3" x14ac:dyDescent="0.25">
      <c r="A965" s="3">
        <v>45380</v>
      </c>
      <c r="B965" s="4">
        <v>843.36</v>
      </c>
      <c r="C965" s="4">
        <v>901.63</v>
      </c>
    </row>
    <row r="966" spans="1:3" x14ac:dyDescent="0.25">
      <c r="A966" s="3">
        <v>45381</v>
      </c>
      <c r="B966" s="4">
        <v>843.36</v>
      </c>
      <c r="C966" s="4">
        <v>901.63</v>
      </c>
    </row>
    <row r="967" spans="1:3" x14ac:dyDescent="0.25">
      <c r="A967" s="3">
        <v>45382</v>
      </c>
      <c r="B967" s="4">
        <v>843.36</v>
      </c>
      <c r="C967" s="4">
        <v>901.63</v>
      </c>
    </row>
    <row r="968" spans="1:3" x14ac:dyDescent="0.25">
      <c r="A968" s="3">
        <v>45383</v>
      </c>
      <c r="B968" s="4">
        <v>843.36</v>
      </c>
      <c r="C968" s="4">
        <v>901.63</v>
      </c>
    </row>
    <row r="969" spans="1:3" x14ac:dyDescent="0.25">
      <c r="A969" s="3">
        <v>45384</v>
      </c>
      <c r="B969" s="4">
        <v>843.36</v>
      </c>
      <c r="C969" s="4">
        <v>901.63</v>
      </c>
    </row>
    <row r="970" spans="1:3" x14ac:dyDescent="0.25">
      <c r="A970" s="3">
        <v>45385</v>
      </c>
      <c r="B970" s="4">
        <v>847.71</v>
      </c>
      <c r="C970" s="4">
        <v>905.3</v>
      </c>
    </row>
    <row r="971" spans="1:3" x14ac:dyDescent="0.25">
      <c r="A971" s="3">
        <v>45386</v>
      </c>
      <c r="B971" s="4">
        <v>848.57</v>
      </c>
      <c r="C971" s="4">
        <v>905.96</v>
      </c>
    </row>
    <row r="972" spans="1:3" x14ac:dyDescent="0.25">
      <c r="A972" s="3">
        <v>45387</v>
      </c>
      <c r="B972" s="4">
        <v>905.17</v>
      </c>
      <c r="C972" s="4">
        <v>907.24</v>
      </c>
    </row>
    <row r="973" spans="1:3" x14ac:dyDescent="0.25">
      <c r="A973" s="3">
        <v>45388</v>
      </c>
      <c r="B973" s="4">
        <v>905.17</v>
      </c>
      <c r="C973" s="4">
        <v>907.24</v>
      </c>
    </row>
    <row r="974" spans="1:3" x14ac:dyDescent="0.25">
      <c r="A974" s="3">
        <v>45389</v>
      </c>
      <c r="B974" s="4">
        <v>905.17</v>
      </c>
      <c r="C974" s="4">
        <v>907.24</v>
      </c>
    </row>
    <row r="975" spans="1:3" x14ac:dyDescent="0.25">
      <c r="A975" s="3">
        <v>45390</v>
      </c>
      <c r="B975" s="4">
        <v>861.6</v>
      </c>
      <c r="C975" s="4">
        <v>909.53</v>
      </c>
    </row>
    <row r="976" spans="1:3" x14ac:dyDescent="0.25">
      <c r="A976" s="3">
        <v>45391</v>
      </c>
      <c r="B976" s="4">
        <v>861.69</v>
      </c>
      <c r="C976" s="4">
        <v>909.53</v>
      </c>
    </row>
    <row r="977" spans="1:3" x14ac:dyDescent="0.25">
      <c r="A977" s="3">
        <v>45392</v>
      </c>
      <c r="B977" s="4">
        <v>852.71</v>
      </c>
      <c r="C977" s="4">
        <v>910.43</v>
      </c>
    </row>
    <row r="978" spans="1:3" x14ac:dyDescent="0.25">
      <c r="A978" s="3">
        <v>45393</v>
      </c>
      <c r="B978" s="4">
        <v>852.89</v>
      </c>
      <c r="C978" s="4">
        <v>910.82</v>
      </c>
    </row>
    <row r="979" spans="1:3" x14ac:dyDescent="0.25">
      <c r="A979" s="3">
        <v>45394</v>
      </c>
      <c r="B979" s="4">
        <v>854.57</v>
      </c>
      <c r="C979" s="4">
        <v>913.27</v>
      </c>
    </row>
    <row r="980" spans="1:3" x14ac:dyDescent="0.25">
      <c r="A980" s="3">
        <v>45395</v>
      </c>
      <c r="B980" s="4">
        <v>854.57</v>
      </c>
      <c r="C980" s="4">
        <v>913.27</v>
      </c>
    </row>
    <row r="981" spans="1:3" x14ac:dyDescent="0.25">
      <c r="A981" s="3">
        <v>45396</v>
      </c>
      <c r="B981" s="4">
        <v>854.57</v>
      </c>
      <c r="C981" s="4">
        <v>913.27</v>
      </c>
    </row>
    <row r="982" spans="1:3" x14ac:dyDescent="0.25">
      <c r="A982" s="3">
        <v>45397</v>
      </c>
      <c r="B982" s="4">
        <v>855.02</v>
      </c>
      <c r="C982" s="4">
        <v>912.36</v>
      </c>
    </row>
    <row r="983" spans="1:3" x14ac:dyDescent="0.25">
      <c r="A983" s="3">
        <v>45398</v>
      </c>
      <c r="B983" s="4">
        <v>855.21</v>
      </c>
      <c r="C983" s="4">
        <v>912.61</v>
      </c>
    </row>
    <row r="984" spans="1:3" x14ac:dyDescent="0.25">
      <c r="A984" s="3">
        <v>45399</v>
      </c>
      <c r="B984" s="4">
        <v>855.9</v>
      </c>
      <c r="C984" s="4">
        <v>912.99</v>
      </c>
    </row>
    <row r="985" spans="1:3" x14ac:dyDescent="0.25">
      <c r="A985" s="3">
        <v>45400</v>
      </c>
      <c r="B985" s="4">
        <v>855.61</v>
      </c>
      <c r="C985" s="4">
        <v>913.23</v>
      </c>
    </row>
    <row r="986" spans="1:3" x14ac:dyDescent="0.25">
      <c r="A986" s="3">
        <v>45401</v>
      </c>
      <c r="B986" s="4">
        <v>856.7</v>
      </c>
      <c r="C986" s="4">
        <v>914.03</v>
      </c>
    </row>
    <row r="987" spans="1:3" x14ac:dyDescent="0.25">
      <c r="A987" s="3">
        <v>45402</v>
      </c>
      <c r="B987" s="4">
        <v>856.7</v>
      </c>
      <c r="C987" s="4">
        <v>914.03</v>
      </c>
    </row>
    <row r="988" spans="1:3" x14ac:dyDescent="0.25">
      <c r="A988" s="3">
        <v>45403</v>
      </c>
      <c r="B988" s="4">
        <v>856.7</v>
      </c>
      <c r="C988" s="4">
        <v>914.03</v>
      </c>
    </row>
    <row r="989" spans="1:3" x14ac:dyDescent="0.25">
      <c r="A989" s="3">
        <v>45404</v>
      </c>
      <c r="B989" s="4">
        <v>858.39</v>
      </c>
      <c r="C989" s="4">
        <v>915.8</v>
      </c>
    </row>
    <row r="990" spans="1:3" x14ac:dyDescent="0.25">
      <c r="A990" s="3">
        <v>45405</v>
      </c>
      <c r="B990" s="4">
        <v>858.42</v>
      </c>
      <c r="C990" s="4">
        <v>916.2</v>
      </c>
    </row>
    <row r="991" spans="1:3" x14ac:dyDescent="0.25">
      <c r="A991" s="3">
        <v>45406</v>
      </c>
      <c r="B991" s="4">
        <v>858.62</v>
      </c>
      <c r="C991" s="4">
        <v>916.2</v>
      </c>
    </row>
    <row r="992" spans="1:3" x14ac:dyDescent="0.25">
      <c r="A992" s="3">
        <v>45407</v>
      </c>
      <c r="B992" s="4">
        <v>858.62</v>
      </c>
      <c r="C992" s="4">
        <v>916.2</v>
      </c>
    </row>
    <row r="993" spans="1:3" x14ac:dyDescent="0.25">
      <c r="A993" s="3">
        <v>45408</v>
      </c>
      <c r="B993" s="4">
        <v>860.5</v>
      </c>
      <c r="C993" s="4">
        <v>918.36</v>
      </c>
    </row>
    <row r="994" spans="1:3" x14ac:dyDescent="0.25">
      <c r="A994" s="3">
        <v>45409</v>
      </c>
      <c r="B994" s="4">
        <v>860.5</v>
      </c>
      <c r="C994" s="4">
        <v>918.36</v>
      </c>
    </row>
    <row r="995" spans="1:3" x14ac:dyDescent="0.25">
      <c r="A995" s="3">
        <v>45410</v>
      </c>
      <c r="B995" s="4">
        <v>860.5</v>
      </c>
      <c r="C995" s="4">
        <v>918.36</v>
      </c>
    </row>
    <row r="996" spans="1:3" x14ac:dyDescent="0.25">
      <c r="A996" s="3">
        <v>45411</v>
      </c>
      <c r="B996" s="4">
        <v>862.12</v>
      </c>
      <c r="C996" s="4">
        <v>920.09</v>
      </c>
    </row>
    <row r="997" spans="1:3" x14ac:dyDescent="0.25">
      <c r="A997" s="3">
        <v>45412</v>
      </c>
      <c r="B997" s="4">
        <v>862.77</v>
      </c>
      <c r="C997" s="4">
        <v>920.57</v>
      </c>
    </row>
    <row r="998" spans="1:3" x14ac:dyDescent="0.25">
      <c r="A998" s="3">
        <v>45413</v>
      </c>
      <c r="B998" s="4">
        <v>862.77</v>
      </c>
      <c r="C998" s="4">
        <v>920.57</v>
      </c>
    </row>
    <row r="999" spans="1:3" x14ac:dyDescent="0.25">
      <c r="A999" s="3">
        <v>45414</v>
      </c>
      <c r="B999" s="4">
        <v>864.04</v>
      </c>
      <c r="C999" s="4">
        <v>923.85</v>
      </c>
    </row>
    <row r="1000" spans="1:3" x14ac:dyDescent="0.25">
      <c r="A1000" s="3">
        <v>45415</v>
      </c>
      <c r="B1000" s="4">
        <v>863.86</v>
      </c>
      <c r="C1000" s="4">
        <v>921.34</v>
      </c>
    </row>
    <row r="1001" spans="1:3" x14ac:dyDescent="0.25">
      <c r="A1001" s="3">
        <v>45416</v>
      </c>
      <c r="B1001" s="4">
        <v>864.04</v>
      </c>
      <c r="C1001" s="4">
        <v>923.85</v>
      </c>
    </row>
    <row r="1002" spans="1:3" x14ac:dyDescent="0.25">
      <c r="A1002" s="3">
        <v>45417</v>
      </c>
      <c r="B1002" s="4">
        <v>864.04</v>
      </c>
      <c r="C1002" s="4">
        <v>923.85</v>
      </c>
    </row>
    <row r="1003" spans="1:3" x14ac:dyDescent="0.25">
      <c r="A1003" s="3">
        <v>45418</v>
      </c>
      <c r="B1003" s="4">
        <v>865.74</v>
      </c>
      <c r="C1003" s="4">
        <v>923.56</v>
      </c>
    </row>
    <row r="1004" spans="1:3" x14ac:dyDescent="0.25">
      <c r="A1004" s="3">
        <v>45419</v>
      </c>
      <c r="B1004" s="4">
        <v>865.74</v>
      </c>
      <c r="C1004" s="4">
        <v>923.56</v>
      </c>
    </row>
    <row r="1005" spans="1:3" x14ac:dyDescent="0.25">
      <c r="A1005" s="3">
        <v>45420</v>
      </c>
      <c r="B1005" s="4">
        <v>865.74</v>
      </c>
      <c r="C1005" s="4">
        <v>923.56</v>
      </c>
    </row>
    <row r="1006" spans="1:3" x14ac:dyDescent="0.25">
      <c r="A1006" s="3">
        <v>45421</v>
      </c>
      <c r="B1006" s="4">
        <v>866.46</v>
      </c>
      <c r="C1006" s="4">
        <v>924.06</v>
      </c>
    </row>
    <row r="1007" spans="1:3" x14ac:dyDescent="0.25">
      <c r="A1007" s="3">
        <v>45422</v>
      </c>
      <c r="B1007" s="4">
        <v>866.46</v>
      </c>
      <c r="C1007" s="4">
        <v>924.06</v>
      </c>
    </row>
    <row r="1008" spans="1:3" x14ac:dyDescent="0.25">
      <c r="A1008" s="3">
        <v>45423</v>
      </c>
      <c r="B1008" s="4">
        <v>866.46</v>
      </c>
      <c r="C1008" s="4">
        <v>924.06</v>
      </c>
    </row>
    <row r="1009" spans="1:3" x14ac:dyDescent="0.25">
      <c r="A1009" s="3">
        <v>45424</v>
      </c>
      <c r="B1009" s="4">
        <v>866.46</v>
      </c>
      <c r="C1009" s="4">
        <v>924.06</v>
      </c>
    </row>
    <row r="1010" spans="1:3" x14ac:dyDescent="0.25">
      <c r="A1010" s="3">
        <v>45425</v>
      </c>
      <c r="B1010" s="4">
        <v>866.46</v>
      </c>
      <c r="C1010" s="4">
        <v>924.06</v>
      </c>
    </row>
    <row r="1011" spans="1:3" x14ac:dyDescent="0.25">
      <c r="A1011" s="3">
        <v>45426</v>
      </c>
      <c r="B1011" s="4">
        <v>868.61</v>
      </c>
      <c r="C1011" s="4">
        <v>926.01</v>
      </c>
    </row>
    <row r="1012" spans="1:3" x14ac:dyDescent="0.25">
      <c r="A1012" s="3">
        <v>45427</v>
      </c>
      <c r="B1012" s="4">
        <v>868.82</v>
      </c>
      <c r="C1012" s="4">
        <v>926.22</v>
      </c>
    </row>
    <row r="1013" spans="1:3" x14ac:dyDescent="0.25">
      <c r="A1013" s="3">
        <v>45428</v>
      </c>
      <c r="B1013" s="4">
        <v>869.87</v>
      </c>
      <c r="C1013" s="4">
        <v>927.8</v>
      </c>
    </row>
    <row r="1014" spans="1:3" x14ac:dyDescent="0.25">
      <c r="A1014" s="3">
        <v>45429</v>
      </c>
      <c r="B1014" s="4">
        <v>869.87</v>
      </c>
      <c r="C1014" s="4">
        <v>927.8</v>
      </c>
    </row>
    <row r="1015" spans="1:3" x14ac:dyDescent="0.25">
      <c r="A1015" s="3">
        <v>45430</v>
      </c>
      <c r="B1015" s="4">
        <v>869.87</v>
      </c>
      <c r="C1015" s="4">
        <v>927.8</v>
      </c>
    </row>
    <row r="1016" spans="1:3" x14ac:dyDescent="0.25">
      <c r="A1016" s="3">
        <v>45431</v>
      </c>
      <c r="B1016" s="4">
        <v>869.87</v>
      </c>
      <c r="C1016" s="4">
        <v>927.8</v>
      </c>
    </row>
    <row r="1017" spans="1:3" x14ac:dyDescent="0.25">
      <c r="A1017" s="3">
        <v>45432</v>
      </c>
      <c r="B1017" s="4">
        <v>871.41</v>
      </c>
      <c r="C1017" s="4">
        <v>928.58</v>
      </c>
    </row>
    <row r="1018" spans="1:3" x14ac:dyDescent="0.25">
      <c r="A1018" s="3">
        <v>45433</v>
      </c>
      <c r="B1018" s="4">
        <v>871.72</v>
      </c>
      <c r="C1018" s="4">
        <v>928.96</v>
      </c>
    </row>
    <row r="1019" spans="1:3" x14ac:dyDescent="0.25">
      <c r="A1019" s="3">
        <v>45434</v>
      </c>
      <c r="B1019" s="4">
        <v>872.14</v>
      </c>
      <c r="C1019" s="4">
        <v>929.52</v>
      </c>
    </row>
    <row r="1020" spans="1:3" x14ac:dyDescent="0.25">
      <c r="A1020" s="3">
        <v>45435</v>
      </c>
      <c r="B1020" s="4">
        <v>873.83</v>
      </c>
      <c r="C1020" s="4">
        <v>931.2</v>
      </c>
    </row>
    <row r="1021" spans="1:3" x14ac:dyDescent="0.25">
      <c r="A1021" s="3">
        <v>45436</v>
      </c>
      <c r="B1021" s="4">
        <v>874</v>
      </c>
      <c r="C1021" s="4">
        <v>932</v>
      </c>
    </row>
    <row r="1022" spans="1:3" x14ac:dyDescent="0.25">
      <c r="A1022" s="3">
        <v>45437</v>
      </c>
      <c r="B1022" s="4">
        <v>874</v>
      </c>
      <c r="C1022" s="4">
        <v>932</v>
      </c>
    </row>
    <row r="1023" spans="1:3" x14ac:dyDescent="0.25">
      <c r="A1023" s="3">
        <v>45438</v>
      </c>
      <c r="B1023" s="4">
        <v>874</v>
      </c>
      <c r="C1023" s="4">
        <v>932</v>
      </c>
    </row>
    <row r="1024" spans="1:3" x14ac:dyDescent="0.25">
      <c r="A1024" s="3">
        <v>45439</v>
      </c>
      <c r="B1024" s="4">
        <v>876</v>
      </c>
      <c r="C1024" s="4">
        <v>933.75</v>
      </c>
    </row>
    <row r="1025" spans="1:3" x14ac:dyDescent="0.25">
      <c r="A1025" s="3">
        <v>45440</v>
      </c>
      <c r="B1025" s="4">
        <v>877.46</v>
      </c>
      <c r="C1025" s="4">
        <v>934.78</v>
      </c>
    </row>
    <row r="1026" spans="1:3" x14ac:dyDescent="0.25">
      <c r="A1026" s="3">
        <v>45441</v>
      </c>
      <c r="B1026" s="4">
        <v>876.85</v>
      </c>
      <c r="C1026" s="4">
        <v>934.6</v>
      </c>
    </row>
    <row r="1027" spans="1:3" x14ac:dyDescent="0.25">
      <c r="A1027" s="3">
        <v>45442</v>
      </c>
      <c r="B1027" s="4">
        <v>876.92</v>
      </c>
      <c r="C1027" s="4">
        <v>934.67</v>
      </c>
    </row>
    <row r="1028" spans="1:3" x14ac:dyDescent="0.25">
      <c r="A1028" s="3">
        <v>45443</v>
      </c>
      <c r="B1028" s="4">
        <v>876.94</v>
      </c>
      <c r="C1028" s="4">
        <v>934.94</v>
      </c>
    </row>
    <row r="1029" spans="1:3" x14ac:dyDescent="0.25">
      <c r="A1029" s="3">
        <v>45444</v>
      </c>
      <c r="B1029" s="4">
        <v>876.94</v>
      </c>
      <c r="C1029" s="4">
        <v>934.94</v>
      </c>
    </row>
    <row r="1030" spans="1:3" x14ac:dyDescent="0.25">
      <c r="A1030" s="3">
        <v>45445</v>
      </c>
      <c r="B1030" s="4">
        <v>876.94</v>
      </c>
      <c r="C1030" s="4">
        <v>934.94</v>
      </c>
    </row>
    <row r="1031" spans="1:3" x14ac:dyDescent="0.25">
      <c r="A1031" s="3">
        <v>45446</v>
      </c>
      <c r="B1031" s="4">
        <v>878.72</v>
      </c>
      <c r="C1031" s="4">
        <v>937.66</v>
      </c>
    </row>
    <row r="1032" spans="1:3" x14ac:dyDescent="0.25">
      <c r="A1032" s="3">
        <v>45447</v>
      </c>
      <c r="B1032" s="4">
        <v>880.28</v>
      </c>
      <c r="C1032" s="4">
        <v>938.12</v>
      </c>
    </row>
    <row r="1033" spans="1:3" x14ac:dyDescent="0.25">
      <c r="A1033" s="3">
        <v>45448</v>
      </c>
      <c r="B1033" s="4">
        <v>880.3</v>
      </c>
      <c r="C1033" s="4">
        <v>938.14</v>
      </c>
    </row>
    <row r="1034" spans="1:3" x14ac:dyDescent="0.25">
      <c r="A1034" s="3">
        <v>45449</v>
      </c>
      <c r="B1034" s="4">
        <v>882.52</v>
      </c>
      <c r="C1034" s="4">
        <v>936.71</v>
      </c>
    </row>
    <row r="1035" spans="1:3" x14ac:dyDescent="0.25">
      <c r="A1035" s="3">
        <v>45450</v>
      </c>
      <c r="B1035" s="4">
        <v>880.91</v>
      </c>
      <c r="C1035" s="4">
        <v>939.07</v>
      </c>
    </row>
    <row r="1036" spans="1:3" x14ac:dyDescent="0.25">
      <c r="A1036" s="3">
        <v>45451</v>
      </c>
      <c r="B1036" s="4">
        <v>880.91</v>
      </c>
      <c r="C1036" s="4">
        <v>939.07</v>
      </c>
    </row>
    <row r="1037" spans="1:3" x14ac:dyDescent="0.25">
      <c r="A1037" s="3">
        <v>45452</v>
      </c>
      <c r="B1037" s="4">
        <v>880.91</v>
      </c>
      <c r="C1037" s="4">
        <v>939.07</v>
      </c>
    </row>
    <row r="1038" spans="1:3" x14ac:dyDescent="0.25">
      <c r="A1038" s="3">
        <v>45453</v>
      </c>
      <c r="B1038" s="4">
        <v>882.98</v>
      </c>
      <c r="C1038" s="4">
        <v>942.97</v>
      </c>
    </row>
    <row r="1039" spans="1:3" x14ac:dyDescent="0.25">
      <c r="A1039" s="3">
        <v>45454</v>
      </c>
      <c r="B1039" s="4">
        <v>883.85</v>
      </c>
      <c r="C1039" s="4">
        <v>942.97</v>
      </c>
    </row>
    <row r="1040" spans="1:3" x14ac:dyDescent="0.25">
      <c r="A1040" s="3">
        <v>45455</v>
      </c>
      <c r="B1040" s="4">
        <v>882.98</v>
      </c>
      <c r="C1040" s="4">
        <v>942.97</v>
      </c>
    </row>
    <row r="1041" spans="1:3" x14ac:dyDescent="0.25">
      <c r="A1041" s="3">
        <v>45456</v>
      </c>
      <c r="B1041" s="4">
        <v>883.75</v>
      </c>
      <c r="C1041" s="4">
        <v>941.53</v>
      </c>
    </row>
    <row r="1042" spans="1:3" x14ac:dyDescent="0.25">
      <c r="A1042" s="3">
        <v>45457</v>
      </c>
      <c r="B1042" s="4">
        <v>882.72</v>
      </c>
      <c r="C1042" s="4">
        <v>940.56</v>
      </c>
    </row>
    <row r="1043" spans="1:3" x14ac:dyDescent="0.25">
      <c r="A1043" s="3">
        <v>45458</v>
      </c>
      <c r="B1043" s="4">
        <v>883.85</v>
      </c>
      <c r="C1043" s="4">
        <v>942.97</v>
      </c>
    </row>
    <row r="1044" spans="1:3" x14ac:dyDescent="0.25">
      <c r="A1044" s="3">
        <v>45459</v>
      </c>
      <c r="B1044" s="4">
        <v>884.11</v>
      </c>
      <c r="C1044" s="4">
        <v>942.97</v>
      </c>
    </row>
    <row r="1045" spans="1:3" x14ac:dyDescent="0.25">
      <c r="A1045" s="3">
        <v>45460</v>
      </c>
      <c r="B1045" s="4">
        <v>884.11</v>
      </c>
      <c r="C1045" s="4">
        <v>942.97</v>
      </c>
    </row>
    <row r="1046" spans="1:3" x14ac:dyDescent="0.25">
      <c r="A1046" s="3">
        <v>45461</v>
      </c>
      <c r="B1046" s="4">
        <v>886.11</v>
      </c>
      <c r="C1046" s="4">
        <v>943.79</v>
      </c>
    </row>
    <row r="1047" spans="1:3" x14ac:dyDescent="0.25">
      <c r="A1047" s="3">
        <v>45462</v>
      </c>
      <c r="B1047" s="4">
        <v>887.1</v>
      </c>
      <c r="C1047" s="4">
        <v>945.12</v>
      </c>
    </row>
    <row r="1048" spans="1:3" x14ac:dyDescent="0.25">
      <c r="A1048" s="3">
        <v>45463</v>
      </c>
      <c r="B1048" s="4">
        <v>887.1</v>
      </c>
      <c r="C1048" s="4">
        <v>945.12</v>
      </c>
    </row>
    <row r="1049" spans="1:3" x14ac:dyDescent="0.25">
      <c r="A1049" s="3">
        <v>45464</v>
      </c>
      <c r="B1049" s="4">
        <v>887.1</v>
      </c>
      <c r="C1049" s="4">
        <v>945.12</v>
      </c>
    </row>
    <row r="1050" spans="1:3" x14ac:dyDescent="0.25">
      <c r="A1050" s="3">
        <v>45465</v>
      </c>
      <c r="B1050" s="4">
        <v>887.1</v>
      </c>
      <c r="C1050" s="4">
        <v>945.12</v>
      </c>
    </row>
    <row r="1051" spans="1:3" x14ac:dyDescent="0.25">
      <c r="A1051" s="3">
        <v>45466</v>
      </c>
      <c r="B1051" s="4">
        <v>887.1</v>
      </c>
      <c r="C1051" s="4">
        <v>945.12</v>
      </c>
    </row>
    <row r="1052" spans="1:3" x14ac:dyDescent="0.25">
      <c r="A1052" s="3">
        <v>45467</v>
      </c>
      <c r="B1052" s="4">
        <v>889.22</v>
      </c>
      <c r="C1052" s="4">
        <v>947.74</v>
      </c>
    </row>
    <row r="1053" spans="1:3" x14ac:dyDescent="0.25">
      <c r="A1053" s="3">
        <v>45468</v>
      </c>
      <c r="B1053" s="4">
        <v>890.44</v>
      </c>
      <c r="C1053" s="4">
        <v>948.55</v>
      </c>
    </row>
    <row r="1054" spans="1:3" x14ac:dyDescent="0.25">
      <c r="A1054" s="3">
        <v>45469</v>
      </c>
      <c r="B1054" s="4">
        <v>890.68</v>
      </c>
      <c r="C1054" s="4">
        <v>949.11</v>
      </c>
    </row>
    <row r="1055" spans="1:3" x14ac:dyDescent="0.25">
      <c r="A1055" s="3">
        <v>45470</v>
      </c>
      <c r="B1055" s="4">
        <v>891.21</v>
      </c>
      <c r="C1055" s="4">
        <v>950.25</v>
      </c>
    </row>
    <row r="1056" spans="1:3" x14ac:dyDescent="0.25">
      <c r="A1056" s="3">
        <v>45471</v>
      </c>
      <c r="B1056" s="4">
        <v>892.57</v>
      </c>
      <c r="C1056" s="4">
        <v>950.78</v>
      </c>
    </row>
    <row r="1057" spans="1:3" x14ac:dyDescent="0.25">
      <c r="A1057" s="3">
        <v>45472</v>
      </c>
      <c r="B1057" s="4">
        <v>892.57</v>
      </c>
      <c r="C1057" s="4">
        <v>950.78</v>
      </c>
    </row>
    <row r="1058" spans="1:3" x14ac:dyDescent="0.25">
      <c r="A1058" s="3">
        <v>45473</v>
      </c>
      <c r="B1058" s="4">
        <v>892.57</v>
      </c>
      <c r="C1058" s="4">
        <v>950.78</v>
      </c>
    </row>
    <row r="1059" spans="1:3" x14ac:dyDescent="0.25">
      <c r="A1059" s="3">
        <v>45474</v>
      </c>
      <c r="B1059" s="4">
        <v>895.45</v>
      </c>
      <c r="C1059" s="4">
        <v>953.75</v>
      </c>
    </row>
    <row r="1060" spans="1:3" x14ac:dyDescent="0.25">
      <c r="A1060" s="3">
        <v>45475</v>
      </c>
      <c r="B1060" s="4">
        <v>896.02</v>
      </c>
      <c r="C1060" s="4">
        <v>954.19</v>
      </c>
    </row>
    <row r="1061" spans="1:3" x14ac:dyDescent="0.25">
      <c r="A1061" s="3">
        <v>45476</v>
      </c>
      <c r="B1061" s="4">
        <v>896.71</v>
      </c>
      <c r="C1061" s="4">
        <v>954.79</v>
      </c>
    </row>
    <row r="1062" spans="1:3" x14ac:dyDescent="0.25">
      <c r="A1062" s="3">
        <v>45477</v>
      </c>
      <c r="B1062" s="4">
        <v>897.45</v>
      </c>
      <c r="C1062" s="4">
        <v>954.27</v>
      </c>
    </row>
    <row r="1063" spans="1:3" x14ac:dyDescent="0.25">
      <c r="A1063" s="3">
        <v>45478</v>
      </c>
      <c r="B1063" s="4">
        <v>898.27</v>
      </c>
      <c r="C1063" s="4">
        <v>956.01</v>
      </c>
    </row>
    <row r="1064" spans="1:3" x14ac:dyDescent="0.25">
      <c r="A1064" s="3">
        <v>45479</v>
      </c>
      <c r="B1064" s="4">
        <v>898.27</v>
      </c>
      <c r="C1064" s="4">
        <v>956.01</v>
      </c>
    </row>
    <row r="1065" spans="1:3" x14ac:dyDescent="0.25">
      <c r="A1065" s="3">
        <v>45480</v>
      </c>
      <c r="B1065" s="4">
        <v>898.27</v>
      </c>
      <c r="C1065" s="4">
        <v>956.01</v>
      </c>
    </row>
    <row r="1066" spans="1:3" x14ac:dyDescent="0.25">
      <c r="A1066" s="3">
        <v>45481</v>
      </c>
      <c r="B1066" s="4">
        <v>901</v>
      </c>
      <c r="C1066" s="4">
        <v>958.47</v>
      </c>
    </row>
    <row r="1067" spans="1:3" x14ac:dyDescent="0.25">
      <c r="A1067" s="3">
        <v>45482</v>
      </c>
      <c r="B1067" s="4">
        <v>901.07</v>
      </c>
      <c r="C1067" s="4">
        <v>959.24</v>
      </c>
    </row>
    <row r="1068" spans="1:3" x14ac:dyDescent="0.25">
      <c r="A1068" s="3">
        <v>45483</v>
      </c>
      <c r="B1068" s="4">
        <v>901.07</v>
      </c>
      <c r="C1068" s="4">
        <v>959.24</v>
      </c>
    </row>
    <row r="1069" spans="1:3" x14ac:dyDescent="0.25">
      <c r="A1069" s="3">
        <v>45484</v>
      </c>
      <c r="B1069" s="4">
        <v>901.26</v>
      </c>
      <c r="C1069" s="4">
        <v>959.43</v>
      </c>
    </row>
    <row r="1070" spans="1:3" x14ac:dyDescent="0.25">
      <c r="A1070" s="3">
        <v>45485</v>
      </c>
      <c r="B1070" s="4">
        <v>902.07</v>
      </c>
      <c r="C1070" s="4">
        <v>959.99</v>
      </c>
    </row>
    <row r="1071" spans="1:3" x14ac:dyDescent="0.25">
      <c r="A1071" s="3">
        <v>45486</v>
      </c>
      <c r="B1071" s="4">
        <v>902.07</v>
      </c>
      <c r="C1071" s="4">
        <v>959.99</v>
      </c>
    </row>
    <row r="1072" spans="1:3" x14ac:dyDescent="0.25">
      <c r="A1072" s="3">
        <v>45487</v>
      </c>
      <c r="B1072" s="4">
        <v>902.07</v>
      </c>
      <c r="C1072" s="4">
        <v>959.99</v>
      </c>
    </row>
    <row r="1073" spans="1:3" x14ac:dyDescent="0.25">
      <c r="A1073" s="3">
        <v>45488</v>
      </c>
      <c r="B1073" s="4">
        <v>903.73</v>
      </c>
      <c r="C1073" s="4">
        <v>958.1</v>
      </c>
    </row>
    <row r="1074" spans="1:3" x14ac:dyDescent="0.25">
      <c r="A1074" s="3">
        <v>45489</v>
      </c>
      <c r="B1074" s="4">
        <v>903.48</v>
      </c>
      <c r="C1074" s="4">
        <v>960.7</v>
      </c>
    </row>
    <row r="1075" spans="1:3" x14ac:dyDescent="0.25">
      <c r="A1075" s="3">
        <v>45490</v>
      </c>
      <c r="B1075" s="4">
        <v>903.98</v>
      </c>
      <c r="C1075" s="4">
        <v>962.26</v>
      </c>
    </row>
    <row r="1076" spans="1:3" x14ac:dyDescent="0.25">
      <c r="A1076" s="3">
        <v>45491</v>
      </c>
      <c r="B1076" s="4">
        <v>904.88</v>
      </c>
      <c r="C1076" s="4">
        <v>962.11</v>
      </c>
    </row>
    <row r="1077" spans="1:3" x14ac:dyDescent="0.25">
      <c r="A1077" s="3">
        <v>45492</v>
      </c>
      <c r="B1077" s="4">
        <v>905.62</v>
      </c>
      <c r="C1077" s="4">
        <v>963.13</v>
      </c>
    </row>
    <row r="1078" spans="1:3" x14ac:dyDescent="0.25">
      <c r="A1078" s="3">
        <v>45493</v>
      </c>
      <c r="B1078" s="4">
        <v>905.62</v>
      </c>
      <c r="C1078" s="4">
        <v>963.13</v>
      </c>
    </row>
    <row r="1079" spans="1:3" x14ac:dyDescent="0.25">
      <c r="A1079" s="3">
        <v>45494</v>
      </c>
      <c r="B1079" s="4">
        <v>905.62</v>
      </c>
      <c r="C1079" s="4">
        <v>963.13</v>
      </c>
    </row>
    <row r="1080" spans="1:3" x14ac:dyDescent="0.25">
      <c r="A1080" s="3">
        <v>45495</v>
      </c>
      <c r="B1080" s="4">
        <v>908.25</v>
      </c>
      <c r="C1080" s="4">
        <v>966.42</v>
      </c>
    </row>
    <row r="1081" spans="1:3" x14ac:dyDescent="0.25">
      <c r="A1081" s="3">
        <v>45496</v>
      </c>
      <c r="B1081" s="4">
        <v>908.32</v>
      </c>
      <c r="C1081" s="4">
        <v>966.85</v>
      </c>
    </row>
    <row r="1082" spans="1:3" x14ac:dyDescent="0.25">
      <c r="A1082" s="3">
        <v>45497</v>
      </c>
      <c r="B1082" s="4">
        <v>909.35</v>
      </c>
      <c r="C1082" s="4">
        <v>967.66</v>
      </c>
    </row>
    <row r="1083" spans="1:3" x14ac:dyDescent="0.25">
      <c r="A1083" s="3">
        <v>45498</v>
      </c>
      <c r="B1083" s="4">
        <v>909.78</v>
      </c>
      <c r="C1083" s="4">
        <v>968.41</v>
      </c>
    </row>
    <row r="1084" spans="1:3" x14ac:dyDescent="0.25">
      <c r="A1084" s="3">
        <v>45499</v>
      </c>
      <c r="B1084" s="4">
        <v>910.51</v>
      </c>
      <c r="C1084" s="4">
        <v>969.05</v>
      </c>
    </row>
    <row r="1085" spans="1:3" x14ac:dyDescent="0.25">
      <c r="A1085" s="3">
        <v>45500</v>
      </c>
      <c r="B1085" s="4">
        <v>910.51</v>
      </c>
      <c r="C1085" s="4">
        <v>969.05</v>
      </c>
    </row>
    <row r="1086" spans="1:3" x14ac:dyDescent="0.25">
      <c r="A1086" s="3">
        <v>45501</v>
      </c>
      <c r="B1086" s="4">
        <v>910.51</v>
      </c>
      <c r="C1086" s="4">
        <v>969.05</v>
      </c>
    </row>
    <row r="1087" spans="1:3" x14ac:dyDescent="0.25">
      <c r="A1087" s="3">
        <v>45502</v>
      </c>
      <c r="B1087" s="4">
        <v>911.95</v>
      </c>
      <c r="C1087" s="4">
        <v>970.8</v>
      </c>
    </row>
    <row r="1088" spans="1:3" x14ac:dyDescent="0.25">
      <c r="A1088" s="3">
        <v>45503</v>
      </c>
      <c r="B1088" s="4">
        <v>912.84</v>
      </c>
      <c r="C1088" s="4">
        <v>971.29</v>
      </c>
    </row>
    <row r="1089" spans="1:3" x14ac:dyDescent="0.25">
      <c r="A1089" s="3">
        <v>45504</v>
      </c>
      <c r="B1089" s="4">
        <v>913</v>
      </c>
      <c r="C1089" s="4">
        <v>971.53</v>
      </c>
    </row>
    <row r="1090" spans="1:3" x14ac:dyDescent="0.25">
      <c r="A1090" s="3">
        <v>45505</v>
      </c>
      <c r="B1090" s="4">
        <v>914.14</v>
      </c>
      <c r="C1090" s="4">
        <v>971.5</v>
      </c>
    </row>
    <row r="1091" spans="1:3" x14ac:dyDescent="0.25">
      <c r="A1091" s="3">
        <v>45506</v>
      </c>
      <c r="B1091" s="4">
        <v>916.23</v>
      </c>
      <c r="C1091" s="4">
        <v>972.41</v>
      </c>
    </row>
    <row r="1092" spans="1:3" x14ac:dyDescent="0.25">
      <c r="A1092" s="3">
        <v>45507</v>
      </c>
      <c r="B1092" s="4">
        <v>916.23</v>
      </c>
      <c r="C1092" s="4">
        <v>972.41</v>
      </c>
    </row>
    <row r="1093" spans="1:3" x14ac:dyDescent="0.25">
      <c r="A1093" s="3">
        <v>45508</v>
      </c>
      <c r="B1093" s="4">
        <v>916.23</v>
      </c>
      <c r="C1093" s="4">
        <v>972.41</v>
      </c>
    </row>
    <row r="1094" spans="1:3" x14ac:dyDescent="0.25">
      <c r="A1094" s="3">
        <v>45509</v>
      </c>
      <c r="B1094" s="4">
        <v>917.74</v>
      </c>
      <c r="C1094" s="4">
        <v>976.91</v>
      </c>
    </row>
    <row r="1095" spans="1:3" x14ac:dyDescent="0.25">
      <c r="A1095" s="3">
        <v>45510</v>
      </c>
      <c r="B1095" s="4">
        <v>918.57</v>
      </c>
      <c r="C1095" s="4">
        <v>977.15</v>
      </c>
    </row>
    <row r="1096" spans="1:3" x14ac:dyDescent="0.25">
      <c r="A1096" s="3">
        <v>45511</v>
      </c>
      <c r="B1096" s="4">
        <v>919.28</v>
      </c>
      <c r="C1096" s="4">
        <v>977.43</v>
      </c>
    </row>
    <row r="1097" spans="1:3" x14ac:dyDescent="0.25">
      <c r="A1097" s="3">
        <v>45512</v>
      </c>
      <c r="B1097" s="4">
        <v>918.57</v>
      </c>
      <c r="C1097" s="4">
        <v>977.15</v>
      </c>
    </row>
    <row r="1098" spans="1:3" x14ac:dyDescent="0.25">
      <c r="A1098" s="3">
        <v>45513</v>
      </c>
      <c r="B1098" s="4">
        <v>920</v>
      </c>
      <c r="C1098" s="4">
        <v>979.14</v>
      </c>
    </row>
    <row r="1099" spans="1:3" x14ac:dyDescent="0.25">
      <c r="A1099" s="3">
        <v>45514</v>
      </c>
      <c r="B1099" s="4">
        <v>921.93</v>
      </c>
      <c r="C1099" s="4">
        <v>980.75</v>
      </c>
    </row>
    <row r="1100" spans="1:3" x14ac:dyDescent="0.25">
      <c r="A1100" s="3">
        <v>45515</v>
      </c>
      <c r="B1100" s="4">
        <v>921.93</v>
      </c>
      <c r="C1100" s="4">
        <v>980.75</v>
      </c>
    </row>
    <row r="1101" spans="1:3" x14ac:dyDescent="0.25">
      <c r="A1101" s="3">
        <v>45516</v>
      </c>
      <c r="B1101" s="4">
        <v>922.24</v>
      </c>
      <c r="C1101" s="4">
        <v>981.39</v>
      </c>
    </row>
    <row r="1102" spans="1:3" x14ac:dyDescent="0.25">
      <c r="A1102" s="3">
        <v>45517</v>
      </c>
      <c r="B1102" s="4">
        <v>922.57</v>
      </c>
      <c r="C1102" s="4">
        <v>981.39</v>
      </c>
    </row>
    <row r="1103" spans="1:3" x14ac:dyDescent="0.25">
      <c r="A1103" s="3">
        <v>45518</v>
      </c>
      <c r="B1103" s="4">
        <v>922.79</v>
      </c>
      <c r="C1103" s="4">
        <v>981.76</v>
      </c>
    </row>
    <row r="1104" spans="1:3" x14ac:dyDescent="0.25">
      <c r="A1104" s="3">
        <v>45519</v>
      </c>
      <c r="B1104" s="4">
        <v>923.16</v>
      </c>
      <c r="C1104" s="4">
        <v>982.31</v>
      </c>
    </row>
    <row r="1105" spans="1:3" x14ac:dyDescent="0.25">
      <c r="A1105" s="3">
        <v>45520</v>
      </c>
      <c r="B1105" s="4">
        <v>923.67</v>
      </c>
      <c r="C1105" s="4">
        <v>982.81</v>
      </c>
    </row>
    <row r="1106" spans="1:3" x14ac:dyDescent="0.25">
      <c r="A1106" s="3">
        <v>45521</v>
      </c>
      <c r="B1106" s="4">
        <v>923.67</v>
      </c>
      <c r="C1106" s="4">
        <v>982.81</v>
      </c>
    </row>
    <row r="1107" spans="1:3" x14ac:dyDescent="0.25">
      <c r="A1107" s="3">
        <v>45522</v>
      </c>
      <c r="B1107" s="4">
        <v>923.67</v>
      </c>
      <c r="C1107" s="4">
        <v>982.81</v>
      </c>
    </row>
    <row r="1108" spans="1:3" x14ac:dyDescent="0.25">
      <c r="A1108" s="3">
        <v>45523</v>
      </c>
      <c r="B1108" s="4">
        <v>924.19</v>
      </c>
      <c r="C1108" s="4">
        <v>983.01</v>
      </c>
    </row>
    <row r="1109" spans="1:3" x14ac:dyDescent="0.25">
      <c r="A1109" s="3">
        <v>45524</v>
      </c>
      <c r="B1109" s="4">
        <v>924.21</v>
      </c>
      <c r="C1109" s="4">
        <v>983.03</v>
      </c>
    </row>
    <row r="1110" spans="1:3" x14ac:dyDescent="0.25">
      <c r="A1110" s="3">
        <v>45525</v>
      </c>
      <c r="B1110" s="4">
        <v>925.48</v>
      </c>
      <c r="C1110" s="4">
        <v>983.64</v>
      </c>
    </row>
    <row r="1111" spans="1:3" x14ac:dyDescent="0.25">
      <c r="A1111" s="3">
        <v>45526</v>
      </c>
      <c r="B1111" s="4">
        <v>92.02</v>
      </c>
      <c r="C1111" s="4">
        <v>983.02</v>
      </c>
    </row>
    <row r="1112" spans="1:3" x14ac:dyDescent="0.25">
      <c r="A1112" s="3">
        <v>45527</v>
      </c>
      <c r="B1112" s="4">
        <v>924.21</v>
      </c>
      <c r="C1112" s="4">
        <v>983.03</v>
      </c>
    </row>
    <row r="1113" spans="1:3" x14ac:dyDescent="0.25">
      <c r="A1113" s="3">
        <v>45528</v>
      </c>
      <c r="B1113" s="4">
        <v>925.38</v>
      </c>
      <c r="C1113" s="4">
        <v>984.2</v>
      </c>
    </row>
    <row r="1114" spans="1:3" x14ac:dyDescent="0.25">
      <c r="A1114" s="3">
        <v>45529</v>
      </c>
      <c r="B1114" s="4">
        <v>927.23</v>
      </c>
      <c r="C1114" s="4">
        <v>986.05</v>
      </c>
    </row>
    <row r="1115" spans="1:3" x14ac:dyDescent="0.25">
      <c r="A1115" s="3">
        <v>45530</v>
      </c>
      <c r="B1115" s="4">
        <v>928.31</v>
      </c>
      <c r="C1115" s="4">
        <v>987.34</v>
      </c>
    </row>
    <row r="1116" spans="1:3" x14ac:dyDescent="0.25">
      <c r="A1116" s="3">
        <v>45531</v>
      </c>
      <c r="B1116" s="4">
        <v>929.74</v>
      </c>
      <c r="C1116" s="4">
        <v>988.1</v>
      </c>
    </row>
    <row r="1117" spans="1:3" x14ac:dyDescent="0.25">
      <c r="A1117" s="3">
        <v>45532</v>
      </c>
      <c r="B1117" s="4">
        <v>929.74</v>
      </c>
      <c r="C1117" s="4">
        <v>988.62</v>
      </c>
    </row>
    <row r="1118" spans="1:3" x14ac:dyDescent="0.25">
      <c r="A1118" s="3">
        <v>45533</v>
      </c>
      <c r="B1118" s="4">
        <v>929.61</v>
      </c>
      <c r="C1118" s="4">
        <v>988.63</v>
      </c>
    </row>
    <row r="1119" spans="1:3" x14ac:dyDescent="0.25">
      <c r="A1119" s="3">
        <v>45534</v>
      </c>
      <c r="B1119" s="4">
        <v>932.28</v>
      </c>
      <c r="C1119" s="4">
        <v>991.42</v>
      </c>
    </row>
    <row r="1120" spans="1:3" x14ac:dyDescent="0.25">
      <c r="A1120" s="3">
        <v>45535</v>
      </c>
      <c r="B1120" s="4">
        <v>932.28</v>
      </c>
      <c r="C1120" s="4">
        <v>991.42</v>
      </c>
    </row>
    <row r="1121" spans="1:3" x14ac:dyDescent="0.25">
      <c r="A1121" s="3">
        <v>45536</v>
      </c>
      <c r="B1121" s="4">
        <v>932.28</v>
      </c>
      <c r="C1121" s="4">
        <v>991.42</v>
      </c>
    </row>
    <row r="1122" spans="1:3" x14ac:dyDescent="0.25">
      <c r="A1122" s="3">
        <v>45537</v>
      </c>
      <c r="B1122" s="4">
        <v>932.62</v>
      </c>
      <c r="C1122" s="4">
        <v>991.08</v>
      </c>
    </row>
    <row r="1123" spans="1:3" x14ac:dyDescent="0.25">
      <c r="A1123" s="3">
        <v>45538</v>
      </c>
      <c r="B1123" s="4">
        <v>932.64</v>
      </c>
      <c r="C1123" s="4">
        <v>991.12</v>
      </c>
    </row>
    <row r="1124" spans="1:3" x14ac:dyDescent="0.25">
      <c r="A1124" s="3">
        <v>45539</v>
      </c>
      <c r="B1124" s="4">
        <v>932.84</v>
      </c>
      <c r="C1124" s="4">
        <v>991.31</v>
      </c>
    </row>
    <row r="1125" spans="1:3" x14ac:dyDescent="0.25">
      <c r="A1125" s="3">
        <v>45540</v>
      </c>
      <c r="B1125" s="4">
        <v>935.09</v>
      </c>
      <c r="C1125" s="4">
        <v>991.8</v>
      </c>
    </row>
    <row r="1126" spans="1:3" x14ac:dyDescent="0.25">
      <c r="A1126" s="3">
        <v>45541</v>
      </c>
      <c r="B1126" s="4">
        <v>933.7</v>
      </c>
      <c r="C1126" s="4">
        <v>994.02</v>
      </c>
    </row>
    <row r="1127" spans="1:3" x14ac:dyDescent="0.25">
      <c r="A1127" s="3">
        <v>45542</v>
      </c>
      <c r="B1127" s="4">
        <v>933.7</v>
      </c>
      <c r="C1127" s="4">
        <v>994.02</v>
      </c>
    </row>
    <row r="1128" spans="1:3" x14ac:dyDescent="0.25">
      <c r="A1128" s="3">
        <v>45543</v>
      </c>
      <c r="B1128" s="4">
        <v>933.7</v>
      </c>
      <c r="C1128" s="4">
        <v>994.02</v>
      </c>
    </row>
    <row r="1129" spans="1:3" x14ac:dyDescent="0.25">
      <c r="A1129" s="3">
        <v>45544</v>
      </c>
      <c r="B1129" s="4">
        <v>933.7</v>
      </c>
      <c r="C1129" s="4">
        <v>994.02</v>
      </c>
    </row>
    <row r="1130" spans="1:3" x14ac:dyDescent="0.25">
      <c r="A1130" s="3">
        <v>45545</v>
      </c>
      <c r="B1130" s="4">
        <v>935.77</v>
      </c>
      <c r="C1130" s="4">
        <v>994.24</v>
      </c>
    </row>
    <row r="1131" spans="1:3" x14ac:dyDescent="0.25">
      <c r="A1131" s="3">
        <v>45546</v>
      </c>
      <c r="B1131" s="4">
        <v>935.95</v>
      </c>
      <c r="C1131" s="4">
        <v>994.41</v>
      </c>
    </row>
    <row r="1132" spans="1:3" x14ac:dyDescent="0.25">
      <c r="A1132" s="3">
        <v>45547</v>
      </c>
      <c r="B1132" s="4">
        <v>936.14</v>
      </c>
      <c r="C1132" s="4">
        <v>994.61</v>
      </c>
    </row>
    <row r="1133" spans="1:3" x14ac:dyDescent="0.25">
      <c r="A1133" s="3">
        <v>45548</v>
      </c>
      <c r="B1133" s="4">
        <v>936.78</v>
      </c>
      <c r="C1133" s="4">
        <v>995.57</v>
      </c>
    </row>
    <row r="1134" spans="1:3" x14ac:dyDescent="0.25">
      <c r="A1134" s="3">
        <v>45549</v>
      </c>
      <c r="B1134" s="4">
        <v>936.78</v>
      </c>
      <c r="C1134" s="4">
        <v>995.57</v>
      </c>
    </row>
    <row r="1135" spans="1:3" x14ac:dyDescent="0.25">
      <c r="A1135" s="3">
        <v>45550</v>
      </c>
      <c r="B1135" s="4">
        <v>936.78</v>
      </c>
      <c r="C1135" s="4">
        <v>995.57</v>
      </c>
    </row>
    <row r="1136" spans="1:3" x14ac:dyDescent="0.25">
      <c r="A1136" s="3">
        <v>45551</v>
      </c>
      <c r="B1136" s="4">
        <v>937.6</v>
      </c>
      <c r="C1136" s="4">
        <v>995.73</v>
      </c>
    </row>
    <row r="1137" spans="1:3" x14ac:dyDescent="0.25">
      <c r="A1137" s="3">
        <v>45552</v>
      </c>
      <c r="B1137" s="4">
        <v>937.44</v>
      </c>
      <c r="C1137" s="4">
        <v>995.91</v>
      </c>
    </row>
    <row r="1138" spans="1:3" x14ac:dyDescent="0.25">
      <c r="A1138" s="3">
        <v>45553</v>
      </c>
      <c r="B1138" s="4">
        <v>937.7</v>
      </c>
      <c r="C1138" s="4">
        <v>995.94</v>
      </c>
    </row>
    <row r="1139" spans="1:3" x14ac:dyDescent="0.25">
      <c r="A1139" s="3">
        <v>45554</v>
      </c>
      <c r="B1139" s="4">
        <v>938.86</v>
      </c>
      <c r="C1139" s="4">
        <v>997.12</v>
      </c>
    </row>
    <row r="1140" spans="1:3" x14ac:dyDescent="0.25">
      <c r="A1140" s="3">
        <v>45555</v>
      </c>
      <c r="B1140" s="4">
        <v>941.87</v>
      </c>
      <c r="C1140" s="4">
        <v>1000.01</v>
      </c>
    </row>
    <row r="1141" spans="1:3" x14ac:dyDescent="0.25">
      <c r="A1141" s="3">
        <v>45556</v>
      </c>
      <c r="B1141" s="4">
        <v>940.36</v>
      </c>
      <c r="C1141" s="4">
        <v>998.25</v>
      </c>
    </row>
    <row r="1142" spans="1:3" x14ac:dyDescent="0.25">
      <c r="A1142" s="3">
        <v>45557</v>
      </c>
      <c r="B1142" s="4">
        <v>940.36</v>
      </c>
      <c r="C1142" s="4">
        <v>998.25</v>
      </c>
    </row>
    <row r="1143" spans="1:3" x14ac:dyDescent="0.25">
      <c r="A1143" s="3">
        <v>45558</v>
      </c>
      <c r="B1143" s="4">
        <v>942.42</v>
      </c>
      <c r="C1143" s="4">
        <v>1000.26</v>
      </c>
    </row>
    <row r="1144" spans="1:3" x14ac:dyDescent="0.25">
      <c r="A1144" s="3">
        <v>45559</v>
      </c>
      <c r="B1144" s="4">
        <v>944.21</v>
      </c>
      <c r="C1144" s="4">
        <v>1000.94</v>
      </c>
    </row>
    <row r="1145" spans="1:3" x14ac:dyDescent="0.25">
      <c r="A1145" s="3">
        <v>45560</v>
      </c>
      <c r="B1145" s="4">
        <v>944.8</v>
      </c>
      <c r="C1145" s="4">
        <v>1003.09</v>
      </c>
    </row>
    <row r="1146" spans="1:3" x14ac:dyDescent="0.25">
      <c r="A1146" s="3">
        <v>45561</v>
      </c>
      <c r="B1146" s="4">
        <v>945.15</v>
      </c>
      <c r="C1146" s="4">
        <v>1003.64</v>
      </c>
    </row>
    <row r="1147" spans="1:3" x14ac:dyDescent="0.25">
      <c r="A1147" s="3">
        <v>45562</v>
      </c>
      <c r="B1147" s="4">
        <v>945.51</v>
      </c>
      <c r="C1147" s="4">
        <v>1004.1</v>
      </c>
    </row>
    <row r="1148" spans="1:3" x14ac:dyDescent="0.25">
      <c r="A1148" s="3">
        <v>45563</v>
      </c>
      <c r="B1148" s="4">
        <v>945.51</v>
      </c>
      <c r="C1148" s="4">
        <v>1004.1</v>
      </c>
    </row>
    <row r="1149" spans="1:3" x14ac:dyDescent="0.25">
      <c r="A1149" s="3">
        <v>45564</v>
      </c>
      <c r="B1149" s="4">
        <v>945.51</v>
      </c>
      <c r="C1149" s="4">
        <v>1004.1</v>
      </c>
    </row>
    <row r="1150" spans="1:3" x14ac:dyDescent="0.25">
      <c r="A1150" s="3">
        <v>45565</v>
      </c>
      <c r="B1150" s="4">
        <v>946.46</v>
      </c>
      <c r="C1150" s="4">
        <v>1004.94</v>
      </c>
    </row>
    <row r="1151" spans="1:3" x14ac:dyDescent="0.25">
      <c r="A1151" s="3">
        <v>45566</v>
      </c>
      <c r="B1151" s="4">
        <v>947.6</v>
      </c>
      <c r="C1151" s="4">
        <v>1005.53</v>
      </c>
    </row>
    <row r="1152" spans="1:3" x14ac:dyDescent="0.25">
      <c r="A1152" s="3">
        <v>45567</v>
      </c>
      <c r="B1152" s="4">
        <v>948.56</v>
      </c>
      <c r="C1152" s="4">
        <v>1006.48</v>
      </c>
    </row>
    <row r="1153" spans="1:3" x14ac:dyDescent="0.25">
      <c r="A1153" s="3">
        <v>45568</v>
      </c>
      <c r="B1153" s="4">
        <v>948.8</v>
      </c>
      <c r="C1153" s="4">
        <v>1006.78</v>
      </c>
    </row>
    <row r="1154" spans="1:3" x14ac:dyDescent="0.25">
      <c r="A1154" s="3">
        <v>45569</v>
      </c>
      <c r="B1154" s="4">
        <v>950.05</v>
      </c>
      <c r="C1154" s="4">
        <v>1008.39</v>
      </c>
    </row>
    <row r="1155" spans="1:3" x14ac:dyDescent="0.25">
      <c r="A1155" s="3">
        <v>45570</v>
      </c>
      <c r="B1155" s="4">
        <v>950.05</v>
      </c>
      <c r="C1155" s="4">
        <v>1008.39</v>
      </c>
    </row>
    <row r="1156" spans="1:3" x14ac:dyDescent="0.25">
      <c r="A1156" s="3">
        <v>45571</v>
      </c>
      <c r="B1156" s="4">
        <v>950.05</v>
      </c>
      <c r="C1156" s="4">
        <v>1008.39</v>
      </c>
    </row>
    <row r="1157" spans="1:3" x14ac:dyDescent="0.25">
      <c r="A1157" s="3">
        <v>45572</v>
      </c>
      <c r="B1157" s="4">
        <v>948.31</v>
      </c>
      <c r="C1157" s="4">
        <v>1008.7</v>
      </c>
    </row>
    <row r="1158" spans="1:3" x14ac:dyDescent="0.25">
      <c r="A1158" s="3">
        <v>45573</v>
      </c>
      <c r="B1158" s="4">
        <v>950.89</v>
      </c>
      <c r="C1158" s="4">
        <v>1009.75</v>
      </c>
    </row>
    <row r="1159" spans="1:3" x14ac:dyDescent="0.25">
      <c r="A1159" s="3">
        <v>45574</v>
      </c>
      <c r="B1159" s="4">
        <v>951.36</v>
      </c>
      <c r="C1159" s="4">
        <v>1010</v>
      </c>
    </row>
    <row r="1160" spans="1:3" x14ac:dyDescent="0.25">
      <c r="A1160" s="3">
        <v>45575</v>
      </c>
      <c r="B1160" s="4">
        <v>953.18</v>
      </c>
      <c r="C1160" s="4">
        <v>1011.27</v>
      </c>
    </row>
    <row r="1161" spans="1:3" x14ac:dyDescent="0.25">
      <c r="A1161" s="3">
        <v>45576</v>
      </c>
      <c r="B1161" s="4">
        <v>953.18</v>
      </c>
      <c r="C1161" s="4">
        <v>1011.27</v>
      </c>
    </row>
    <row r="1162" spans="1:3" x14ac:dyDescent="0.25">
      <c r="A1162" s="3">
        <v>45579</v>
      </c>
      <c r="B1162" s="4">
        <v>953.06</v>
      </c>
      <c r="C1162" s="4">
        <v>1011.61</v>
      </c>
    </row>
    <row r="1163" spans="1:3" x14ac:dyDescent="0.25">
      <c r="A1163" s="3">
        <v>45580</v>
      </c>
      <c r="B1163" s="4">
        <v>953.62</v>
      </c>
      <c r="C1163" s="4">
        <v>1012.18</v>
      </c>
    </row>
    <row r="1164" spans="1:3" x14ac:dyDescent="0.25">
      <c r="A1164" s="3">
        <v>45581</v>
      </c>
      <c r="B1164" s="4">
        <v>953.78</v>
      </c>
      <c r="C1164" s="4">
        <v>1012.47</v>
      </c>
    </row>
    <row r="1165" spans="1:3" x14ac:dyDescent="0.25">
      <c r="A1165" s="3">
        <v>45582</v>
      </c>
      <c r="B1165" s="4">
        <v>955</v>
      </c>
      <c r="C1165" s="4">
        <v>1012.92</v>
      </c>
    </row>
    <row r="1166" spans="1:3" x14ac:dyDescent="0.25">
      <c r="A1166" s="3">
        <v>45583</v>
      </c>
      <c r="B1166" s="4">
        <v>957.44</v>
      </c>
      <c r="C1166" s="4">
        <v>1014.42</v>
      </c>
    </row>
    <row r="1167" spans="1:3" x14ac:dyDescent="0.25">
      <c r="A1167" s="3">
        <v>45584</v>
      </c>
      <c r="B1167" s="4">
        <v>957.44</v>
      </c>
      <c r="C1167" s="4">
        <v>1014.42</v>
      </c>
    </row>
    <row r="1168" spans="1:3" x14ac:dyDescent="0.25">
      <c r="A1168" s="3">
        <v>45585</v>
      </c>
      <c r="B1168" s="4">
        <v>957.44</v>
      </c>
      <c r="C1168" s="4">
        <v>1014.42</v>
      </c>
    </row>
    <row r="1169" spans="1:3" x14ac:dyDescent="0.25">
      <c r="A1169" s="3">
        <v>45586</v>
      </c>
      <c r="B1169" s="4">
        <v>957.02</v>
      </c>
      <c r="C1169" s="4">
        <v>1014.95</v>
      </c>
    </row>
    <row r="1170" spans="1:3" x14ac:dyDescent="0.25">
      <c r="A1170" s="3">
        <v>45587</v>
      </c>
      <c r="B1170" s="4">
        <v>956.92</v>
      </c>
      <c r="C1170" s="4">
        <v>1015.3</v>
      </c>
    </row>
    <row r="1171" spans="1:3" x14ac:dyDescent="0.25">
      <c r="A1171" s="3">
        <v>45588</v>
      </c>
      <c r="B1171" s="4">
        <v>957.06</v>
      </c>
      <c r="C1171" s="4">
        <v>1015.43</v>
      </c>
    </row>
    <row r="1172" spans="1:3" x14ac:dyDescent="0.25">
      <c r="A1172" s="3">
        <v>45589</v>
      </c>
      <c r="B1172" s="4">
        <v>957.64</v>
      </c>
      <c r="C1172" s="4">
        <v>1015.68</v>
      </c>
    </row>
    <row r="1173" spans="1:3" x14ac:dyDescent="0.25">
      <c r="A1173" s="3">
        <v>45590</v>
      </c>
      <c r="B1173" s="4">
        <v>960.18</v>
      </c>
      <c r="C1173" s="4">
        <v>1018.09</v>
      </c>
    </row>
    <row r="1174" spans="1:3" x14ac:dyDescent="0.25">
      <c r="A1174" s="3">
        <v>45591</v>
      </c>
      <c r="B1174" s="4">
        <v>960.18</v>
      </c>
      <c r="C1174" s="4">
        <v>1018.09</v>
      </c>
    </row>
    <row r="1175" spans="1:3" x14ac:dyDescent="0.25">
      <c r="A1175" s="3">
        <v>45592</v>
      </c>
      <c r="B1175" s="4">
        <v>960.18</v>
      </c>
      <c r="C1175" s="4">
        <v>1018.09</v>
      </c>
    </row>
    <row r="1176" spans="1:3" x14ac:dyDescent="0.25">
      <c r="A1176" s="3">
        <v>45593</v>
      </c>
      <c r="B1176" s="4">
        <v>960.95</v>
      </c>
      <c r="C1176" s="4">
        <v>1018.92</v>
      </c>
    </row>
    <row r="1177" spans="1:3" x14ac:dyDescent="0.25">
      <c r="A1177" s="3">
        <v>45594</v>
      </c>
      <c r="B1177" s="4">
        <v>961.24</v>
      </c>
      <c r="C1177" s="4">
        <v>1019.8</v>
      </c>
    </row>
    <row r="1178" spans="1:3" x14ac:dyDescent="0.25">
      <c r="A1178" s="3">
        <v>45595</v>
      </c>
      <c r="B1178" s="4">
        <v>961.98</v>
      </c>
      <c r="C1178" s="4">
        <v>1020.52</v>
      </c>
    </row>
    <row r="1179" spans="1:3" x14ac:dyDescent="0.25">
      <c r="A1179" s="3">
        <v>45596</v>
      </c>
      <c r="B1179" s="4">
        <v>962.82</v>
      </c>
      <c r="C1179" s="4">
        <v>1020.75</v>
      </c>
    </row>
    <row r="1180" spans="1:3" x14ac:dyDescent="0.25">
      <c r="A1180" s="3">
        <v>45597</v>
      </c>
      <c r="B1180" s="4">
        <v>963.91</v>
      </c>
      <c r="C1180" s="4">
        <v>1020.75</v>
      </c>
    </row>
    <row r="1181" spans="1:3" x14ac:dyDescent="0.25">
      <c r="A1181" s="3">
        <v>45598</v>
      </c>
      <c r="B1181" s="4">
        <v>963.91</v>
      </c>
      <c r="C1181" s="4">
        <v>1020.75</v>
      </c>
    </row>
    <row r="1182" spans="1:3" x14ac:dyDescent="0.25">
      <c r="A1182" s="3">
        <v>45599</v>
      </c>
      <c r="B1182" s="4">
        <v>963.91</v>
      </c>
      <c r="C1182" s="4">
        <v>1020.75</v>
      </c>
    </row>
    <row r="1183" spans="1:3" x14ac:dyDescent="0.25">
      <c r="A1183" s="3">
        <v>45600</v>
      </c>
      <c r="B1183" s="4">
        <v>964.4</v>
      </c>
      <c r="C1183" s="4">
        <v>1022.93</v>
      </c>
    </row>
    <row r="1184" spans="1:3" x14ac:dyDescent="0.25">
      <c r="A1184" s="3">
        <v>45601</v>
      </c>
      <c r="B1184" s="4">
        <v>965.51</v>
      </c>
      <c r="C1184" s="4">
        <v>1024.03</v>
      </c>
    </row>
    <row r="1185" spans="1:3" x14ac:dyDescent="0.25">
      <c r="A1185" s="3">
        <v>45602</v>
      </c>
      <c r="B1185" s="4">
        <v>965.51</v>
      </c>
      <c r="C1185" s="4">
        <v>1024.03</v>
      </c>
    </row>
    <row r="1186" spans="1:3" x14ac:dyDescent="0.25">
      <c r="A1186" s="3">
        <v>45603</v>
      </c>
      <c r="B1186" s="4">
        <v>967.13</v>
      </c>
      <c r="C1186" s="4">
        <v>1025.6500000000001</v>
      </c>
    </row>
    <row r="1187" spans="1:3" x14ac:dyDescent="0.25">
      <c r="A1187" s="3">
        <v>45604</v>
      </c>
      <c r="B1187" s="4">
        <v>967.31</v>
      </c>
      <c r="C1187" s="4">
        <v>1026.19</v>
      </c>
    </row>
    <row r="1188" spans="1:3" x14ac:dyDescent="0.25">
      <c r="A1188" s="3">
        <v>45605</v>
      </c>
      <c r="B1188" s="4">
        <v>967.31</v>
      </c>
      <c r="C1188" s="4">
        <v>1026.19</v>
      </c>
    </row>
    <row r="1189" spans="1:3" x14ac:dyDescent="0.25">
      <c r="A1189" s="3">
        <v>45606</v>
      </c>
      <c r="B1189" s="4">
        <v>967.31</v>
      </c>
      <c r="C1189" s="4">
        <v>1026.19</v>
      </c>
    </row>
    <row r="1190" spans="1:3" x14ac:dyDescent="0.25">
      <c r="A1190" s="3">
        <v>45607</v>
      </c>
      <c r="B1190" s="4">
        <v>968.35</v>
      </c>
      <c r="C1190" s="4">
        <v>1027.18</v>
      </c>
    </row>
    <row r="1191" spans="1:3" x14ac:dyDescent="0.25">
      <c r="A1191" s="3">
        <v>45608</v>
      </c>
      <c r="B1191" s="4">
        <v>969.07</v>
      </c>
      <c r="C1191" s="4">
        <v>1027.5899999999999</v>
      </c>
    </row>
    <row r="1192" spans="1:3" x14ac:dyDescent="0.25">
      <c r="A1192" s="3">
        <v>45609</v>
      </c>
      <c r="B1192" s="4">
        <v>970.47</v>
      </c>
      <c r="C1192" s="4">
        <v>1028.99</v>
      </c>
    </row>
    <row r="1193" spans="1:3" x14ac:dyDescent="0.25">
      <c r="A1193" s="3">
        <v>45610</v>
      </c>
      <c r="B1193" s="4">
        <v>970.66</v>
      </c>
      <c r="C1193" s="4">
        <v>1029.18</v>
      </c>
    </row>
    <row r="1194" spans="1:3" x14ac:dyDescent="0.25">
      <c r="A1194" s="3">
        <v>45611</v>
      </c>
      <c r="B1194" s="4">
        <v>968.89</v>
      </c>
      <c r="C1194" s="4">
        <v>1032</v>
      </c>
    </row>
    <row r="1195" spans="1:3" x14ac:dyDescent="0.25">
      <c r="A1195" s="3">
        <v>45612</v>
      </c>
      <c r="B1195" s="4">
        <v>968.89</v>
      </c>
      <c r="C1195" s="4">
        <v>1032</v>
      </c>
    </row>
    <row r="1196" spans="1:3" x14ac:dyDescent="0.25">
      <c r="A1196" s="3">
        <v>45613</v>
      </c>
      <c r="B1196" s="4">
        <v>968.89</v>
      </c>
      <c r="C1196" s="4">
        <v>1032</v>
      </c>
    </row>
    <row r="1197" spans="1:3" x14ac:dyDescent="0.25">
      <c r="A1197" s="3">
        <v>45614</v>
      </c>
      <c r="B1197" s="4">
        <v>968.89</v>
      </c>
      <c r="C1197" s="4">
        <v>1032</v>
      </c>
    </row>
    <row r="1198" spans="1:3" x14ac:dyDescent="0.25">
      <c r="A1198" s="3">
        <v>45615</v>
      </c>
      <c r="B1198" s="4">
        <v>972.9</v>
      </c>
      <c r="C1198" s="4">
        <v>1031.2</v>
      </c>
    </row>
    <row r="1199" spans="1:3" x14ac:dyDescent="0.25">
      <c r="A1199" s="3">
        <v>45616</v>
      </c>
      <c r="B1199" s="4">
        <v>973.67</v>
      </c>
      <c r="C1199" s="4">
        <v>1031.6600000000001</v>
      </c>
    </row>
    <row r="1200" spans="1:3" x14ac:dyDescent="0.25">
      <c r="A1200" s="3">
        <v>45617</v>
      </c>
      <c r="B1200" s="4">
        <v>975.85</v>
      </c>
      <c r="C1200" s="4">
        <v>1033.8599999999999</v>
      </c>
    </row>
    <row r="1201" spans="1:3" x14ac:dyDescent="0.25">
      <c r="A1201" s="3">
        <v>45618</v>
      </c>
      <c r="B1201" s="4">
        <v>976.67</v>
      </c>
      <c r="C1201" s="4">
        <v>1034.98</v>
      </c>
    </row>
    <row r="1202" spans="1:3" x14ac:dyDescent="0.25">
      <c r="A1202" s="3">
        <v>45619</v>
      </c>
      <c r="B1202" s="4">
        <v>976.67</v>
      </c>
      <c r="C1202" s="4">
        <v>1034.98</v>
      </c>
    </row>
    <row r="1203" spans="1:3" x14ac:dyDescent="0.25">
      <c r="A1203" s="3">
        <v>45620</v>
      </c>
      <c r="B1203" s="4">
        <v>976.67</v>
      </c>
      <c r="C1203" s="4">
        <v>1034.98</v>
      </c>
    </row>
    <row r="1204" spans="1:3" x14ac:dyDescent="0.25">
      <c r="A1204" s="3">
        <v>45621</v>
      </c>
      <c r="B1204" s="4">
        <v>976.71</v>
      </c>
      <c r="C1204" s="4">
        <v>1037.08</v>
      </c>
    </row>
    <row r="1205" spans="1:3" x14ac:dyDescent="0.25">
      <c r="A1205" s="3">
        <v>45622</v>
      </c>
      <c r="B1205" s="4">
        <v>977.3</v>
      </c>
      <c r="C1205" s="4">
        <v>1037.68</v>
      </c>
    </row>
    <row r="1206" spans="1:3" x14ac:dyDescent="0.25">
      <c r="A1206" s="3">
        <v>45623</v>
      </c>
      <c r="B1206" s="4">
        <v>978.95</v>
      </c>
      <c r="C1206" s="4">
        <v>1036.96</v>
      </c>
    </row>
    <row r="1207" spans="1:3" x14ac:dyDescent="0.25">
      <c r="A1207" s="3">
        <v>45624</v>
      </c>
      <c r="B1207" s="4">
        <v>981.65</v>
      </c>
      <c r="C1207" s="4">
        <v>1040.27</v>
      </c>
    </row>
    <row r="1208" spans="1:3" x14ac:dyDescent="0.25">
      <c r="A1208" s="3">
        <v>45625</v>
      </c>
      <c r="B1208" s="4">
        <v>978.66</v>
      </c>
      <c r="C1208" s="4">
        <v>1037.24</v>
      </c>
    </row>
    <row r="1209" spans="1:3" x14ac:dyDescent="0.25">
      <c r="A1209" s="3">
        <v>45626</v>
      </c>
      <c r="B1209" s="4">
        <v>978.66</v>
      </c>
      <c r="C1209" s="4">
        <v>1037.24</v>
      </c>
    </row>
    <row r="1210" spans="1:3" x14ac:dyDescent="0.25">
      <c r="A1210" s="3">
        <v>45627</v>
      </c>
      <c r="B1210" s="4">
        <v>978.66</v>
      </c>
      <c r="C1210" s="4">
        <v>1037.24</v>
      </c>
    </row>
    <row r="1211" spans="1:3" x14ac:dyDescent="0.25">
      <c r="A1211" s="3">
        <v>45628</v>
      </c>
      <c r="B1211" s="4">
        <v>982.91</v>
      </c>
      <c r="C1211" s="4">
        <v>1041.73</v>
      </c>
    </row>
    <row r="1212" spans="1:3" x14ac:dyDescent="0.25">
      <c r="A1212" s="3">
        <v>45629</v>
      </c>
      <c r="B1212" s="4">
        <v>984.17</v>
      </c>
      <c r="C1212" s="4">
        <v>1042.3499999999999</v>
      </c>
    </row>
    <row r="1213" spans="1:3" x14ac:dyDescent="0.25">
      <c r="A1213" s="3">
        <v>45630</v>
      </c>
      <c r="B1213" s="4">
        <v>984.17</v>
      </c>
      <c r="C1213" s="4">
        <v>1042.3499999999999</v>
      </c>
    </row>
    <row r="1214" spans="1:3" x14ac:dyDescent="0.25">
      <c r="A1214" s="3">
        <v>45631</v>
      </c>
      <c r="B1214" s="4">
        <v>985</v>
      </c>
      <c r="C1214" s="4">
        <v>1043.33</v>
      </c>
    </row>
    <row r="1215" spans="1:3" x14ac:dyDescent="0.25">
      <c r="A1215" s="3">
        <v>45632</v>
      </c>
      <c r="B1215" s="4">
        <v>985.72</v>
      </c>
      <c r="C1215" s="4">
        <v>1044.8599999999999</v>
      </c>
    </row>
    <row r="1216" spans="1:3" x14ac:dyDescent="0.25">
      <c r="A1216" s="3">
        <v>45633</v>
      </c>
      <c r="B1216" s="4">
        <v>985.72</v>
      </c>
      <c r="C1216" s="4">
        <v>1044.8599999999999</v>
      </c>
    </row>
    <row r="1217" spans="1:3" x14ac:dyDescent="0.25">
      <c r="A1217" s="3">
        <v>45634</v>
      </c>
      <c r="B1217" s="4">
        <v>985.72</v>
      </c>
      <c r="C1217" s="4">
        <v>1044.8599999999999</v>
      </c>
    </row>
    <row r="1218" spans="1:3" x14ac:dyDescent="0.25">
      <c r="A1218" s="3">
        <v>45635</v>
      </c>
      <c r="B1218" s="4">
        <v>988.62</v>
      </c>
      <c r="C1218" s="4">
        <v>1045.92</v>
      </c>
    </row>
    <row r="1219" spans="1:3" x14ac:dyDescent="0.25">
      <c r="A1219" s="3">
        <v>45636</v>
      </c>
      <c r="B1219" s="4">
        <v>990.46</v>
      </c>
      <c r="C1219" s="4">
        <v>1047.55</v>
      </c>
    </row>
    <row r="1220" spans="1:3" x14ac:dyDescent="0.25">
      <c r="A1220" s="3">
        <v>45637</v>
      </c>
      <c r="B1220" s="4">
        <v>990.92</v>
      </c>
      <c r="C1220" s="4">
        <v>1048.2</v>
      </c>
    </row>
    <row r="1221" spans="1:3" x14ac:dyDescent="0.25">
      <c r="A1221" s="3">
        <v>45638</v>
      </c>
      <c r="B1221" s="4">
        <v>990.92</v>
      </c>
      <c r="C1221" s="4">
        <v>1048.2</v>
      </c>
    </row>
    <row r="1222" spans="1:3" x14ac:dyDescent="0.25">
      <c r="A1222" s="3">
        <v>45639</v>
      </c>
      <c r="B1222" s="4">
        <v>991.83</v>
      </c>
      <c r="C1222" s="4">
        <v>1049.4100000000001</v>
      </c>
    </row>
    <row r="1223" spans="1:3" x14ac:dyDescent="0.25">
      <c r="A1223" s="3">
        <v>45640</v>
      </c>
      <c r="B1223" s="4">
        <v>991.83</v>
      </c>
      <c r="C1223" s="4">
        <v>1049.4100000000001</v>
      </c>
    </row>
    <row r="1224" spans="1:3" x14ac:dyDescent="0.25">
      <c r="A1224" s="3">
        <v>45641</v>
      </c>
      <c r="B1224" s="4">
        <v>991.83</v>
      </c>
      <c r="C1224" s="4">
        <v>1049.4100000000001</v>
      </c>
    </row>
    <row r="1225" spans="1:3" x14ac:dyDescent="0.25">
      <c r="A1225" s="3">
        <v>45642</v>
      </c>
      <c r="B1225" s="4">
        <v>992.65</v>
      </c>
      <c r="C1225" s="4">
        <v>1049.93</v>
      </c>
    </row>
    <row r="1226" spans="1:3" x14ac:dyDescent="0.25">
      <c r="A1226" s="3">
        <v>45643</v>
      </c>
      <c r="B1226" s="4">
        <v>993.49</v>
      </c>
      <c r="C1226" s="4">
        <v>1050.53</v>
      </c>
    </row>
    <row r="1227" spans="1:3" x14ac:dyDescent="0.25">
      <c r="A1227" s="3">
        <v>45644</v>
      </c>
      <c r="B1227" s="4">
        <v>993.43</v>
      </c>
      <c r="C1227" s="4">
        <v>1050.56</v>
      </c>
    </row>
    <row r="1228" spans="1:3" x14ac:dyDescent="0.25">
      <c r="A1228" s="3">
        <v>45645</v>
      </c>
      <c r="B1228" s="4">
        <v>994.29</v>
      </c>
      <c r="C1228" s="4">
        <v>1051.6600000000001</v>
      </c>
    </row>
    <row r="1229" spans="1:3" x14ac:dyDescent="0.25">
      <c r="A1229" s="3">
        <v>45646</v>
      </c>
      <c r="B1229" s="4">
        <v>997.36</v>
      </c>
      <c r="C1229" s="4">
        <v>1054.27</v>
      </c>
    </row>
    <row r="1230" spans="1:3" x14ac:dyDescent="0.25">
      <c r="A1230" s="3">
        <v>45647</v>
      </c>
      <c r="B1230" s="4">
        <v>997.36</v>
      </c>
      <c r="C1230" s="4">
        <v>1054.27</v>
      </c>
    </row>
    <row r="1231" spans="1:3" x14ac:dyDescent="0.25">
      <c r="A1231" s="3">
        <v>45648</v>
      </c>
      <c r="B1231" s="4">
        <v>997.36</v>
      </c>
      <c r="C1231" s="4">
        <v>1054.27</v>
      </c>
    </row>
    <row r="1232" spans="1:3" x14ac:dyDescent="0.25">
      <c r="A1232" s="3">
        <v>45649</v>
      </c>
      <c r="B1232" s="4">
        <v>998.68</v>
      </c>
      <c r="C1232" s="4">
        <v>1055.07</v>
      </c>
    </row>
    <row r="1233" spans="1:3" x14ac:dyDescent="0.25">
      <c r="A1233" s="3">
        <v>45650</v>
      </c>
      <c r="B1233" s="4">
        <v>998.68</v>
      </c>
      <c r="C1233" s="4">
        <v>1055.07</v>
      </c>
    </row>
    <row r="1234" spans="1:3" x14ac:dyDescent="0.25">
      <c r="A1234" s="3">
        <v>45651</v>
      </c>
      <c r="B1234" s="4">
        <v>998.68</v>
      </c>
      <c r="C1234" s="4">
        <v>1055.07</v>
      </c>
    </row>
    <row r="1235" spans="1:3" x14ac:dyDescent="0.25">
      <c r="A1235" s="3">
        <v>45652</v>
      </c>
      <c r="B1235" s="4">
        <v>999.13</v>
      </c>
      <c r="C1235" s="4">
        <v>1055.82</v>
      </c>
    </row>
    <row r="1236" spans="1:3" x14ac:dyDescent="0.25">
      <c r="A1236" s="3">
        <v>45653</v>
      </c>
      <c r="B1236" s="4">
        <v>1000.9</v>
      </c>
      <c r="C1236" s="4">
        <v>1057.97</v>
      </c>
    </row>
    <row r="1237" spans="1:3" x14ac:dyDescent="0.25">
      <c r="A1237" s="3">
        <v>45654</v>
      </c>
      <c r="B1237" s="4">
        <v>1000.9</v>
      </c>
      <c r="C1237" s="4">
        <v>1057.97</v>
      </c>
    </row>
    <row r="1238" spans="1:3" x14ac:dyDescent="0.25">
      <c r="A1238" s="3">
        <v>45655</v>
      </c>
      <c r="B1238" s="4">
        <v>1000.9</v>
      </c>
      <c r="C1238" s="4">
        <v>1057.97</v>
      </c>
    </row>
    <row r="1239" spans="1:3" x14ac:dyDescent="0.25">
      <c r="A1239" s="3">
        <v>45656</v>
      </c>
      <c r="B1239" s="4">
        <v>1003.68</v>
      </c>
      <c r="C1239" s="4">
        <v>1060.28</v>
      </c>
    </row>
    <row r="1240" spans="1:3" x14ac:dyDescent="0.25">
      <c r="A1240" s="3">
        <v>45657</v>
      </c>
      <c r="B1240" s="4">
        <v>1003.68</v>
      </c>
      <c r="C1240" s="4">
        <v>1060.28</v>
      </c>
    </row>
    <row r="1241" spans="1:3" x14ac:dyDescent="0.25">
      <c r="A1241" s="3">
        <v>45658</v>
      </c>
      <c r="B1241" s="4">
        <v>1195</v>
      </c>
      <c r="C1241" s="4">
        <v>1215</v>
      </c>
    </row>
    <row r="1242" spans="1:3" x14ac:dyDescent="0.25">
      <c r="A1242" s="3">
        <v>45659</v>
      </c>
      <c r="B1242" s="4">
        <v>1210</v>
      </c>
      <c r="C1242" s="4">
        <v>1230</v>
      </c>
    </row>
    <row r="1243" spans="1:3" x14ac:dyDescent="0.25">
      <c r="A1243" s="3">
        <v>45660</v>
      </c>
      <c r="B1243" s="4">
        <v>1210</v>
      </c>
      <c r="C1243" s="4">
        <v>1230</v>
      </c>
    </row>
    <row r="1244" spans="1:3" x14ac:dyDescent="0.25">
      <c r="A1244" s="3">
        <v>45661</v>
      </c>
      <c r="B1244" s="4">
        <v>1210</v>
      </c>
      <c r="C1244" s="4">
        <v>1230</v>
      </c>
    </row>
    <row r="1245" spans="1:3" x14ac:dyDescent="0.25">
      <c r="A1245" s="3">
        <v>45662</v>
      </c>
      <c r="B1245" s="4">
        <v>1210</v>
      </c>
      <c r="C1245" s="4">
        <v>1230</v>
      </c>
    </row>
    <row r="1246" spans="1:3" x14ac:dyDescent="0.25">
      <c r="A1246" s="3">
        <v>45663</v>
      </c>
      <c r="B1246" s="4">
        <v>1185</v>
      </c>
      <c r="C1246" s="4">
        <v>1205</v>
      </c>
    </row>
    <row r="1247" spans="1:3" x14ac:dyDescent="0.25">
      <c r="A1247" s="3">
        <v>45664</v>
      </c>
      <c r="B1247" s="4">
        <v>1185</v>
      </c>
      <c r="C1247" s="4">
        <v>1205</v>
      </c>
    </row>
    <row r="1248" spans="1:3" x14ac:dyDescent="0.25">
      <c r="A1248" s="3">
        <v>45665</v>
      </c>
      <c r="B1248" s="4">
        <v>1195</v>
      </c>
      <c r="C1248" s="4">
        <v>1215</v>
      </c>
    </row>
    <row r="1249" spans="1:3" x14ac:dyDescent="0.25">
      <c r="A1249" s="3">
        <v>45666</v>
      </c>
      <c r="B1249" s="4">
        <v>1200</v>
      </c>
      <c r="C1249" s="4">
        <v>1220</v>
      </c>
    </row>
    <row r="1250" spans="1:3" x14ac:dyDescent="0.25">
      <c r="A1250" s="3">
        <v>45667</v>
      </c>
      <c r="B1250" s="4">
        <v>1200</v>
      </c>
      <c r="C1250" s="4">
        <v>1220</v>
      </c>
    </row>
    <row r="1251" spans="1:3" x14ac:dyDescent="0.25">
      <c r="A1251" s="3">
        <v>45668</v>
      </c>
      <c r="B1251" s="4">
        <v>1230</v>
      </c>
      <c r="C1251" s="4">
        <v>1250</v>
      </c>
    </row>
    <row r="1252" spans="1:3" x14ac:dyDescent="0.25">
      <c r="A1252" s="3">
        <v>45669</v>
      </c>
      <c r="B1252" s="4">
        <v>1230</v>
      </c>
      <c r="C1252" s="4">
        <v>1250</v>
      </c>
    </row>
    <row r="1253" spans="1:3" x14ac:dyDescent="0.25">
      <c r="A1253" s="3">
        <v>45670</v>
      </c>
      <c r="B1253" s="4">
        <v>1205</v>
      </c>
      <c r="C1253" s="4">
        <v>1225</v>
      </c>
    </row>
    <row r="1254" spans="1:3" x14ac:dyDescent="0.25">
      <c r="A1254" s="3">
        <v>45671</v>
      </c>
      <c r="B1254" s="4">
        <v>1205</v>
      </c>
      <c r="C1254" s="4">
        <v>1225</v>
      </c>
    </row>
    <row r="1255" spans="1:3" x14ac:dyDescent="0.25">
      <c r="A1255" s="3">
        <v>45672</v>
      </c>
      <c r="B1255" s="4">
        <v>1230</v>
      </c>
      <c r="C1255" s="4">
        <v>1240</v>
      </c>
    </row>
    <row r="1256" spans="1:3" x14ac:dyDescent="0.25">
      <c r="A1256" s="3">
        <v>45673</v>
      </c>
      <c r="B1256" s="4">
        <v>1205</v>
      </c>
      <c r="C1256" s="4">
        <v>1225</v>
      </c>
    </row>
    <row r="1257" spans="1:3" x14ac:dyDescent="0.25">
      <c r="A1257" s="3">
        <v>45674</v>
      </c>
      <c r="B1257" s="4">
        <v>1210</v>
      </c>
      <c r="C1257" s="4">
        <v>1235</v>
      </c>
    </row>
    <row r="1258" spans="1:3" x14ac:dyDescent="0.25">
      <c r="A1258" s="3">
        <v>45675</v>
      </c>
      <c r="B1258" s="4">
        <v>1210</v>
      </c>
      <c r="C1258" s="4">
        <v>1235</v>
      </c>
    </row>
    <row r="1259" spans="1:3" x14ac:dyDescent="0.25">
      <c r="A1259" s="3">
        <v>45676</v>
      </c>
      <c r="B1259" s="4">
        <v>1210</v>
      </c>
      <c r="C1259" s="4">
        <v>1235</v>
      </c>
    </row>
    <row r="1260" spans="1:3" x14ac:dyDescent="0.25">
      <c r="A1260" s="3">
        <v>45677</v>
      </c>
      <c r="B1260" s="4">
        <v>1215</v>
      </c>
      <c r="C1260" s="4">
        <v>1235</v>
      </c>
    </row>
    <row r="1261" spans="1:3" x14ac:dyDescent="0.25">
      <c r="A1261" s="3">
        <v>45678</v>
      </c>
      <c r="B1261" s="4">
        <v>1220</v>
      </c>
      <c r="C1261" s="4">
        <v>1240</v>
      </c>
    </row>
    <row r="1262" spans="1:3" x14ac:dyDescent="0.25">
      <c r="A1262" s="3">
        <v>45679</v>
      </c>
      <c r="B1262" s="4">
        <v>1215</v>
      </c>
      <c r="C1262" s="4">
        <v>1235</v>
      </c>
    </row>
    <row r="1263" spans="1:3" x14ac:dyDescent="0.25">
      <c r="A1263" s="3">
        <v>45680</v>
      </c>
      <c r="B1263" s="4">
        <v>1220</v>
      </c>
      <c r="C1263" s="4">
        <v>1240</v>
      </c>
    </row>
    <row r="1264" spans="1:3" x14ac:dyDescent="0.25">
      <c r="A1264" s="3">
        <v>45681</v>
      </c>
      <c r="B1264" s="4">
        <v>1205</v>
      </c>
      <c r="C1264" s="4">
        <v>1225</v>
      </c>
    </row>
    <row r="1265" spans="1:3" x14ac:dyDescent="0.25">
      <c r="A1265" s="3">
        <v>45684</v>
      </c>
      <c r="B1265" s="4">
        <v>1210</v>
      </c>
      <c r="C1265" s="4">
        <v>1230</v>
      </c>
    </row>
    <row r="1266" spans="1:3" x14ac:dyDescent="0.25">
      <c r="A1266" s="3">
        <v>45685</v>
      </c>
      <c r="B1266" s="4">
        <v>1210</v>
      </c>
      <c r="C1266" s="4">
        <v>1230</v>
      </c>
    </row>
    <row r="1267" spans="1:3" x14ac:dyDescent="0.25">
      <c r="A1267" s="3">
        <v>45686</v>
      </c>
      <c r="B1267" s="4">
        <v>1210</v>
      </c>
      <c r="C1267" s="4">
        <v>1230</v>
      </c>
    </row>
    <row r="1268" spans="1:3" x14ac:dyDescent="0.25">
      <c r="A1268" s="3">
        <v>45687</v>
      </c>
      <c r="B1268" s="4">
        <v>1200</v>
      </c>
      <c r="C1268" s="4">
        <v>1220</v>
      </c>
    </row>
    <row r="1269" spans="1:3" x14ac:dyDescent="0.25">
      <c r="A1269" s="3">
        <v>45688</v>
      </c>
      <c r="B1269" s="4">
        <v>1200</v>
      </c>
      <c r="C1269" s="4">
        <v>1220</v>
      </c>
    </row>
    <row r="1270" spans="1:3" x14ac:dyDescent="0.25">
      <c r="A1270" s="3">
        <v>45689</v>
      </c>
      <c r="B1270" s="4">
        <v>1205</v>
      </c>
      <c r="C1270" s="4">
        <v>1225</v>
      </c>
    </row>
    <row r="1271" spans="1:3" x14ac:dyDescent="0.25">
      <c r="A1271" s="3">
        <v>45690</v>
      </c>
      <c r="B1271" s="4">
        <v>1200</v>
      </c>
      <c r="C1271" s="4">
        <v>1220</v>
      </c>
    </row>
    <row r="1272" spans="1:3" x14ac:dyDescent="0.25">
      <c r="A1272" s="3">
        <v>45691</v>
      </c>
      <c r="B1272" s="4">
        <v>1200</v>
      </c>
      <c r="C1272" s="4">
        <v>1220</v>
      </c>
    </row>
    <row r="1273" spans="1:3" x14ac:dyDescent="0.25">
      <c r="A1273" s="3">
        <v>45692</v>
      </c>
      <c r="B1273" s="4">
        <v>1195</v>
      </c>
      <c r="C1273" s="4">
        <v>1215</v>
      </c>
    </row>
    <row r="1274" spans="1:3" x14ac:dyDescent="0.25">
      <c r="A1274" s="3">
        <v>45693</v>
      </c>
      <c r="B1274" s="4">
        <v>1200</v>
      </c>
      <c r="C1274" s="4">
        <v>1220</v>
      </c>
    </row>
    <row r="1275" spans="1:3" x14ac:dyDescent="0.25">
      <c r="A1275" s="3">
        <v>45694</v>
      </c>
      <c r="B1275" s="4">
        <v>1195</v>
      </c>
      <c r="C1275" s="4">
        <v>1215</v>
      </c>
    </row>
    <row r="1276" spans="1:3" x14ac:dyDescent="0.25">
      <c r="A1276" s="3">
        <v>45695</v>
      </c>
      <c r="B1276" s="4">
        <v>1185</v>
      </c>
      <c r="C1276" s="4">
        <v>1205</v>
      </c>
    </row>
    <row r="1277" spans="1:3" x14ac:dyDescent="0.25">
      <c r="A1277" s="3">
        <v>45696</v>
      </c>
      <c r="B1277" s="4">
        <v>1190</v>
      </c>
      <c r="C1277" s="4">
        <v>1210</v>
      </c>
    </row>
    <row r="1278" spans="1:3" x14ac:dyDescent="0.25">
      <c r="A1278" s="3">
        <v>45697</v>
      </c>
      <c r="B1278" s="4">
        <v>1195</v>
      </c>
      <c r="C1278" s="4">
        <v>1215</v>
      </c>
    </row>
    <row r="1279" spans="1:3" x14ac:dyDescent="0.25">
      <c r="A1279" s="3">
        <v>45698</v>
      </c>
      <c r="B1279" s="4">
        <v>1185</v>
      </c>
      <c r="C1279" s="4">
        <v>1205</v>
      </c>
    </row>
    <row r="1280" spans="1:3" x14ac:dyDescent="0.25">
      <c r="A1280" s="3">
        <v>45699</v>
      </c>
      <c r="B1280" s="4">
        <v>1180</v>
      </c>
      <c r="C1280" s="4">
        <v>1210</v>
      </c>
    </row>
    <row r="1281" spans="1:3" x14ac:dyDescent="0.25">
      <c r="A1281" s="3">
        <v>45700</v>
      </c>
      <c r="B1281" s="4">
        <v>1195</v>
      </c>
      <c r="C1281" s="4">
        <v>1215</v>
      </c>
    </row>
    <row r="1282" spans="1:3" x14ac:dyDescent="0.25">
      <c r="A1282" s="3">
        <v>45701</v>
      </c>
      <c r="B1282" s="4">
        <v>1205</v>
      </c>
      <c r="C1282" s="4">
        <v>1225</v>
      </c>
    </row>
    <row r="1283" spans="1:3" x14ac:dyDescent="0.25">
      <c r="A1283" s="3">
        <v>45702</v>
      </c>
      <c r="B1283" s="4">
        <v>1205</v>
      </c>
      <c r="C1283" s="4">
        <v>1225</v>
      </c>
    </row>
    <row r="1284" spans="1:3" x14ac:dyDescent="0.25">
      <c r="A1284" s="3">
        <v>45703</v>
      </c>
      <c r="B1284" s="4">
        <v>1205</v>
      </c>
      <c r="C1284" s="4">
        <v>1225</v>
      </c>
    </row>
    <row r="1285" spans="1:3" x14ac:dyDescent="0.25">
      <c r="A1285" s="3">
        <v>45704</v>
      </c>
      <c r="B1285" s="4">
        <v>1205</v>
      </c>
      <c r="C1285" s="4">
        <v>1225</v>
      </c>
    </row>
    <row r="1286" spans="1:3" x14ac:dyDescent="0.25">
      <c r="A1286" s="3">
        <v>45705</v>
      </c>
      <c r="B1286" s="4">
        <v>1200</v>
      </c>
      <c r="C1286" s="4">
        <v>1220</v>
      </c>
    </row>
    <row r="1287" spans="1:3" x14ac:dyDescent="0.25">
      <c r="A1287" s="3">
        <v>45706</v>
      </c>
      <c r="B1287" s="4">
        <v>1215</v>
      </c>
      <c r="C1287" s="4">
        <v>1235</v>
      </c>
    </row>
    <row r="1288" spans="1:3" x14ac:dyDescent="0.25">
      <c r="A1288" s="3">
        <v>45707</v>
      </c>
      <c r="B1288" s="4">
        <v>1215</v>
      </c>
      <c r="C1288" s="4">
        <v>1235</v>
      </c>
    </row>
    <row r="1289" spans="1:3" x14ac:dyDescent="0.25">
      <c r="A1289" s="3">
        <v>45708</v>
      </c>
      <c r="B1289" s="4">
        <v>1205</v>
      </c>
      <c r="C1289" s="4">
        <v>1225</v>
      </c>
    </row>
    <row r="1290" spans="1:3" x14ac:dyDescent="0.25">
      <c r="A1290" s="3">
        <v>45709</v>
      </c>
      <c r="B1290" s="4">
        <v>1205</v>
      </c>
      <c r="C1290" s="4">
        <v>1225</v>
      </c>
    </row>
    <row r="1291" spans="1:3" x14ac:dyDescent="0.25">
      <c r="A1291" s="3">
        <v>45710</v>
      </c>
      <c r="B1291" s="4">
        <v>1210</v>
      </c>
      <c r="C1291" s="4">
        <v>1230</v>
      </c>
    </row>
    <row r="1292" spans="1:3" x14ac:dyDescent="0.25">
      <c r="A1292" s="3">
        <v>45711</v>
      </c>
      <c r="B1292" s="4">
        <v>1210</v>
      </c>
      <c r="C1292" s="4">
        <v>1230</v>
      </c>
    </row>
    <row r="1293" spans="1:3" x14ac:dyDescent="0.25">
      <c r="A1293" s="3">
        <v>45712</v>
      </c>
      <c r="B1293" s="4">
        <v>1210</v>
      </c>
      <c r="C1293" s="4">
        <v>1230</v>
      </c>
    </row>
    <row r="1294" spans="1:3" x14ac:dyDescent="0.25">
      <c r="A1294" s="3">
        <v>45713</v>
      </c>
      <c r="B1294" s="4">
        <v>1220</v>
      </c>
      <c r="C1294" s="4">
        <v>1240</v>
      </c>
    </row>
    <row r="1295" spans="1:3" x14ac:dyDescent="0.25">
      <c r="A1295" s="3">
        <v>45714</v>
      </c>
      <c r="B1295" s="4">
        <v>1220</v>
      </c>
      <c r="C1295" s="4">
        <v>1240</v>
      </c>
    </row>
    <row r="1296" spans="1:3" x14ac:dyDescent="0.25">
      <c r="A1296" s="3">
        <v>45715</v>
      </c>
      <c r="B1296" s="4">
        <v>1210</v>
      </c>
      <c r="C1296" s="4">
        <v>1230</v>
      </c>
    </row>
    <row r="1297" spans="1:3" x14ac:dyDescent="0.25">
      <c r="A1297" s="3">
        <v>45716</v>
      </c>
      <c r="B1297" s="4">
        <v>1210</v>
      </c>
      <c r="C1297" s="4">
        <v>1230</v>
      </c>
    </row>
    <row r="1298" spans="1:3" x14ac:dyDescent="0.25">
      <c r="A1298" s="3">
        <v>45717</v>
      </c>
      <c r="B1298" s="4">
        <v>1210</v>
      </c>
      <c r="C1298" s="4">
        <v>1230</v>
      </c>
    </row>
    <row r="1299" spans="1:3" x14ac:dyDescent="0.25">
      <c r="A1299" s="3">
        <v>45718</v>
      </c>
      <c r="B1299" s="4">
        <v>1210</v>
      </c>
      <c r="C1299" s="4">
        <v>1230</v>
      </c>
    </row>
    <row r="1300" spans="1:3" x14ac:dyDescent="0.25">
      <c r="A1300" s="3">
        <v>45719</v>
      </c>
      <c r="B1300" s="4">
        <v>1210</v>
      </c>
      <c r="C1300" s="4">
        <v>1230</v>
      </c>
    </row>
    <row r="1301" spans="1:3" x14ac:dyDescent="0.25">
      <c r="A1301" s="3">
        <v>45720</v>
      </c>
      <c r="B1301" s="4">
        <v>1210</v>
      </c>
      <c r="C1301" s="4">
        <v>1230</v>
      </c>
    </row>
    <row r="1302" spans="1:3" x14ac:dyDescent="0.25">
      <c r="A1302" s="3">
        <v>45721</v>
      </c>
      <c r="B1302" s="4">
        <v>1210</v>
      </c>
      <c r="C1302" s="4">
        <v>1230</v>
      </c>
    </row>
    <row r="1303" spans="1:3" x14ac:dyDescent="0.25">
      <c r="A1303" s="3">
        <v>45722</v>
      </c>
      <c r="B1303" s="4">
        <v>1205</v>
      </c>
      <c r="C1303" s="4">
        <v>1225</v>
      </c>
    </row>
    <row r="1304" spans="1:3" x14ac:dyDescent="0.25">
      <c r="A1304" s="3">
        <v>45723</v>
      </c>
      <c r="B1304" s="4">
        <v>1195</v>
      </c>
      <c r="C1304" s="4">
        <v>1215</v>
      </c>
    </row>
    <row r="1305" spans="1:3" x14ac:dyDescent="0.25">
      <c r="A1305" s="3">
        <v>45724</v>
      </c>
      <c r="B1305" s="4">
        <v>1195</v>
      </c>
      <c r="C1305" s="4">
        <v>1215</v>
      </c>
    </row>
    <row r="1306" spans="1:3" x14ac:dyDescent="0.25">
      <c r="A1306" s="3">
        <v>45725</v>
      </c>
      <c r="B1306" s="4">
        <v>1195</v>
      </c>
      <c r="C1306" s="4">
        <v>1215</v>
      </c>
    </row>
    <row r="1307" spans="1:3" x14ac:dyDescent="0.25">
      <c r="A1307" s="3">
        <v>45726</v>
      </c>
      <c r="B1307" s="4">
        <v>1205</v>
      </c>
      <c r="C1307" s="4">
        <v>1225</v>
      </c>
    </row>
    <row r="1308" spans="1:3" x14ac:dyDescent="0.25">
      <c r="A1308" s="3">
        <v>45727</v>
      </c>
      <c r="B1308" s="4">
        <v>1205</v>
      </c>
      <c r="C1308" s="4">
        <v>1225</v>
      </c>
    </row>
    <row r="1309" spans="1:3" x14ac:dyDescent="0.25">
      <c r="A1309" s="3">
        <v>45728</v>
      </c>
      <c r="B1309" s="4">
        <v>1200</v>
      </c>
      <c r="C1309" s="4">
        <v>1220</v>
      </c>
    </row>
    <row r="1310" spans="1:3" x14ac:dyDescent="0.25">
      <c r="A1310" s="3">
        <v>45729</v>
      </c>
      <c r="B1310" s="4">
        <v>1210</v>
      </c>
      <c r="C1310" s="4">
        <v>1230</v>
      </c>
    </row>
    <row r="1311" spans="1:3" x14ac:dyDescent="0.25">
      <c r="A1311" s="3">
        <v>45730</v>
      </c>
      <c r="B1311" s="4">
        <v>1220</v>
      </c>
      <c r="C1311" s="4">
        <v>1240</v>
      </c>
    </row>
    <row r="1312" spans="1:3" x14ac:dyDescent="0.25">
      <c r="A1312" s="3">
        <v>45731</v>
      </c>
      <c r="B1312" s="4">
        <v>1220</v>
      </c>
      <c r="C1312" s="4">
        <v>1240</v>
      </c>
    </row>
    <row r="1313" spans="1:3" x14ac:dyDescent="0.25">
      <c r="A1313" s="3">
        <v>45732</v>
      </c>
      <c r="B1313" s="4">
        <v>1220</v>
      </c>
      <c r="C1313" s="4">
        <v>1240</v>
      </c>
    </row>
    <row r="1314" spans="1:3" x14ac:dyDescent="0.25">
      <c r="A1314" s="3">
        <v>45733</v>
      </c>
      <c r="B1314" s="4">
        <v>1220</v>
      </c>
      <c r="C1314" s="4">
        <v>1240</v>
      </c>
    </row>
    <row r="1315" spans="1:3" x14ac:dyDescent="0.25">
      <c r="A1315" s="3">
        <v>45734</v>
      </c>
      <c r="B1315" s="4">
        <v>1235</v>
      </c>
      <c r="C1315" s="4">
        <v>1255</v>
      </c>
    </row>
    <row r="1316" spans="1:3" x14ac:dyDescent="0.25">
      <c r="A1316" s="3">
        <v>45735</v>
      </c>
      <c r="B1316" s="4">
        <v>1260</v>
      </c>
      <c r="C1316" s="4">
        <v>1280</v>
      </c>
    </row>
    <row r="1317" spans="1:3" x14ac:dyDescent="0.25">
      <c r="A1317" s="3">
        <v>45736</v>
      </c>
      <c r="B1317" s="4">
        <v>1260</v>
      </c>
      <c r="C1317" s="4">
        <v>1280</v>
      </c>
    </row>
    <row r="1318" spans="1:3" x14ac:dyDescent="0.25">
      <c r="A1318" s="3">
        <v>45737</v>
      </c>
      <c r="B1318" s="4">
        <v>1245</v>
      </c>
      <c r="C1318" s="4">
        <v>1265</v>
      </c>
    </row>
    <row r="1319" spans="1:3" x14ac:dyDescent="0.25">
      <c r="A1319" s="3">
        <v>45738</v>
      </c>
      <c r="B1319" s="4">
        <v>1245</v>
      </c>
      <c r="C1319" s="4">
        <v>1265</v>
      </c>
    </row>
    <row r="1320" spans="1:3" x14ac:dyDescent="0.25">
      <c r="A1320" s="3">
        <v>45739</v>
      </c>
      <c r="B1320" s="4">
        <v>1245</v>
      </c>
      <c r="C1320" s="4">
        <v>1265</v>
      </c>
    </row>
    <row r="1321" spans="1:3" x14ac:dyDescent="0.25">
      <c r="A1321" s="3">
        <v>45740</v>
      </c>
      <c r="B1321" s="4">
        <v>1245</v>
      </c>
      <c r="C1321" s="4">
        <v>1265</v>
      </c>
    </row>
    <row r="1322" spans="1:3" x14ac:dyDescent="0.25">
      <c r="A1322" s="3">
        <v>45741</v>
      </c>
      <c r="B1322" s="4">
        <v>1260</v>
      </c>
      <c r="C1322" s="4">
        <v>1280</v>
      </c>
    </row>
    <row r="1323" spans="1:3" x14ac:dyDescent="0.25">
      <c r="A1323" s="3">
        <v>45742</v>
      </c>
      <c r="B1323" s="4">
        <v>1275</v>
      </c>
      <c r="C1323" s="4">
        <v>1295</v>
      </c>
    </row>
    <row r="1324" spans="1:3" x14ac:dyDescent="0.25">
      <c r="A1324" s="3">
        <v>45743</v>
      </c>
      <c r="B1324" s="4">
        <v>1290</v>
      </c>
      <c r="C1324" s="4">
        <v>1310</v>
      </c>
    </row>
    <row r="1325" spans="1:3" x14ac:dyDescent="0.25">
      <c r="A1325" s="3">
        <v>45744</v>
      </c>
      <c r="B1325" s="4">
        <v>1280</v>
      </c>
      <c r="C1325" s="4">
        <v>1300</v>
      </c>
    </row>
    <row r="1326" spans="1:3" x14ac:dyDescent="0.25">
      <c r="A1326" s="3">
        <v>45745</v>
      </c>
      <c r="B1326" s="4">
        <v>1280</v>
      </c>
      <c r="C1326" s="4">
        <v>1300</v>
      </c>
    </row>
    <row r="1327" spans="1:3" x14ac:dyDescent="0.25">
      <c r="A1327" s="3">
        <v>45746</v>
      </c>
      <c r="B1327" s="4">
        <v>1280</v>
      </c>
      <c r="C1327" s="4">
        <v>1300</v>
      </c>
    </row>
    <row r="1328" spans="1:3" x14ac:dyDescent="0.25">
      <c r="A1328" s="3">
        <v>45747</v>
      </c>
      <c r="B1328" s="4">
        <v>1280</v>
      </c>
      <c r="C1328" s="4">
        <v>1300</v>
      </c>
    </row>
    <row r="1329" spans="1:3" x14ac:dyDescent="0.25">
      <c r="A1329" s="3">
        <v>45748</v>
      </c>
      <c r="B1329" s="4">
        <v>1285</v>
      </c>
      <c r="C1329" s="4">
        <v>1315</v>
      </c>
    </row>
    <row r="1330" spans="1:3" x14ac:dyDescent="0.25">
      <c r="A1330" s="3">
        <v>45749</v>
      </c>
      <c r="B1330" s="4">
        <v>1285</v>
      </c>
      <c r="C1330" s="4">
        <v>1315</v>
      </c>
    </row>
    <row r="1331" spans="1:3" x14ac:dyDescent="0.25">
      <c r="A1331" s="3">
        <v>45750</v>
      </c>
      <c r="B1331" s="4">
        <v>1290</v>
      </c>
      <c r="C1331" s="4">
        <v>1310</v>
      </c>
    </row>
    <row r="1332" spans="1:3" x14ac:dyDescent="0.25">
      <c r="A1332" s="3">
        <v>45751</v>
      </c>
      <c r="B1332" s="4">
        <v>1290</v>
      </c>
      <c r="C1332" s="4">
        <v>1310</v>
      </c>
    </row>
    <row r="1333" spans="1:3" x14ac:dyDescent="0.25">
      <c r="A1333" s="3">
        <v>45752</v>
      </c>
      <c r="B1333" s="4">
        <v>1290</v>
      </c>
      <c r="C1333" s="4">
        <v>1310</v>
      </c>
    </row>
    <row r="1334" spans="1:3" x14ac:dyDescent="0.25">
      <c r="A1334" s="3">
        <v>45753</v>
      </c>
      <c r="B1334" s="4">
        <v>1290</v>
      </c>
      <c r="C1334" s="4">
        <v>1310</v>
      </c>
    </row>
    <row r="1335" spans="1:3" x14ac:dyDescent="0.25">
      <c r="A1335" s="3">
        <v>45754</v>
      </c>
      <c r="B1335" s="4">
        <v>1325</v>
      </c>
      <c r="C1335" s="4">
        <v>1345</v>
      </c>
    </row>
    <row r="1336" spans="1:3" x14ac:dyDescent="0.25">
      <c r="A1336" s="3">
        <v>45755</v>
      </c>
      <c r="B1336" s="4">
        <v>1340</v>
      </c>
      <c r="C1336" s="4">
        <v>1360</v>
      </c>
    </row>
    <row r="1337" spans="1:3" x14ac:dyDescent="0.25">
      <c r="A1337" s="3">
        <v>45756</v>
      </c>
      <c r="B1337" s="4">
        <v>1335</v>
      </c>
      <c r="C1337" s="4">
        <v>1355</v>
      </c>
    </row>
    <row r="1338" spans="1:3" x14ac:dyDescent="0.25">
      <c r="A1338" s="3">
        <v>45757</v>
      </c>
      <c r="B1338" s="4">
        <v>1345</v>
      </c>
      <c r="C1338" s="4">
        <v>1365</v>
      </c>
    </row>
    <row r="1339" spans="1:3" x14ac:dyDescent="0.25">
      <c r="A1339" s="3">
        <v>45758</v>
      </c>
      <c r="B1339" s="4">
        <v>1355</v>
      </c>
      <c r="C1339" s="4">
        <v>1375</v>
      </c>
    </row>
    <row r="1340" spans="1:3" x14ac:dyDescent="0.25">
      <c r="A1340" s="3">
        <v>45759</v>
      </c>
      <c r="B1340" s="4">
        <v>1355</v>
      </c>
      <c r="C1340" s="4">
        <v>1375</v>
      </c>
    </row>
    <row r="1341" spans="1:3" x14ac:dyDescent="0.25">
      <c r="A1341" s="3">
        <v>45760</v>
      </c>
      <c r="B1341" s="4">
        <v>1355</v>
      </c>
      <c r="C1341" s="4">
        <v>1375</v>
      </c>
    </row>
    <row r="1342" spans="1:3" x14ac:dyDescent="0.25">
      <c r="A1342" s="3">
        <v>45761</v>
      </c>
      <c r="B1342" s="4">
        <v>1265</v>
      </c>
      <c r="C1342" s="4">
        <v>1285</v>
      </c>
    </row>
    <row r="1343" spans="1:3" x14ac:dyDescent="0.25">
      <c r="A1343" s="3">
        <v>45762</v>
      </c>
      <c r="B1343" s="4">
        <v>1255</v>
      </c>
      <c r="C1343" s="4">
        <v>1285</v>
      </c>
    </row>
    <row r="1344" spans="1:3" x14ac:dyDescent="0.25">
      <c r="A1344" s="3">
        <v>45763</v>
      </c>
      <c r="B1344" s="4">
        <v>1230</v>
      </c>
      <c r="C1344" s="4">
        <v>1250</v>
      </c>
    </row>
    <row r="1345" spans="1:3" x14ac:dyDescent="0.25">
      <c r="A1345" s="3">
        <v>45764</v>
      </c>
      <c r="B1345" s="4">
        <v>1230</v>
      </c>
      <c r="C1345" s="4">
        <v>1250</v>
      </c>
    </row>
    <row r="1346" spans="1:3" x14ac:dyDescent="0.25">
      <c r="A1346" s="3">
        <v>45765</v>
      </c>
      <c r="B1346" s="4">
        <v>1230</v>
      </c>
      <c r="C1346" s="4">
        <v>1250</v>
      </c>
    </row>
    <row r="1347" spans="1:3" x14ac:dyDescent="0.25">
      <c r="A1347" s="3">
        <v>45766</v>
      </c>
      <c r="B1347" s="4">
        <v>1230</v>
      </c>
      <c r="C1347" s="4">
        <v>1250</v>
      </c>
    </row>
    <row r="1348" spans="1:3" x14ac:dyDescent="0.25">
      <c r="A1348" s="3">
        <v>45767</v>
      </c>
      <c r="B1348" s="4">
        <v>1230</v>
      </c>
      <c r="C1348" s="4">
        <v>1250</v>
      </c>
    </row>
    <row r="1349" spans="1:3" x14ac:dyDescent="0.25">
      <c r="A1349" s="3">
        <v>45768</v>
      </c>
      <c r="B1349" s="4">
        <v>1130</v>
      </c>
      <c r="C1349" s="4">
        <v>1150</v>
      </c>
    </row>
    <row r="1350" spans="1:3" x14ac:dyDescent="0.25">
      <c r="A1350" s="3">
        <v>45769</v>
      </c>
      <c r="B1350" s="4">
        <v>1165</v>
      </c>
      <c r="C1350" s="4">
        <v>1185</v>
      </c>
    </row>
    <row r="1351" spans="1:3" x14ac:dyDescent="0.25">
      <c r="A1351" s="3">
        <v>45770</v>
      </c>
      <c r="B1351" s="4">
        <v>1190</v>
      </c>
      <c r="C1351" s="4">
        <v>1210</v>
      </c>
    </row>
    <row r="1352" spans="1:3" x14ac:dyDescent="0.25">
      <c r="A1352" s="3">
        <v>45771</v>
      </c>
      <c r="B1352" s="4">
        <v>1205</v>
      </c>
      <c r="C1352" s="4">
        <v>1225</v>
      </c>
    </row>
    <row r="1353" spans="1:3" x14ac:dyDescent="0.25">
      <c r="A1353" s="3">
        <v>45772</v>
      </c>
      <c r="B1353" s="4">
        <v>1205</v>
      </c>
      <c r="C1353" s="4">
        <v>1225</v>
      </c>
    </row>
    <row r="1354" spans="1:3" x14ac:dyDescent="0.25">
      <c r="A1354" s="3">
        <v>45773</v>
      </c>
      <c r="B1354" s="4">
        <v>1205</v>
      </c>
      <c r="C1354" s="4">
        <v>1225</v>
      </c>
    </row>
    <row r="1355" spans="1:3" x14ac:dyDescent="0.25">
      <c r="A1355" s="3">
        <v>45774</v>
      </c>
      <c r="B1355" s="4">
        <v>1205</v>
      </c>
      <c r="C1355" s="4">
        <v>1225</v>
      </c>
    </row>
    <row r="1356" spans="1:3" x14ac:dyDescent="0.25">
      <c r="A1356" s="3">
        <v>45775</v>
      </c>
      <c r="B1356" s="4">
        <v>1190</v>
      </c>
      <c r="C1356" s="4">
        <v>1210</v>
      </c>
    </row>
    <row r="1357" spans="1:3" x14ac:dyDescent="0.25">
      <c r="A1357" s="3">
        <v>45776</v>
      </c>
      <c r="B1357" s="4">
        <v>1185</v>
      </c>
      <c r="C1357" s="4">
        <v>1205</v>
      </c>
    </row>
    <row r="1358" spans="1:3" x14ac:dyDescent="0.25">
      <c r="A1358" s="3">
        <v>45777</v>
      </c>
      <c r="B1358" s="4">
        <v>1180</v>
      </c>
      <c r="C1358" s="4">
        <v>1200</v>
      </c>
    </row>
    <row r="1359" spans="1:3" x14ac:dyDescent="0.25">
      <c r="A1359" s="3">
        <v>45778</v>
      </c>
      <c r="B1359" s="4">
        <v>1180</v>
      </c>
      <c r="C1359" s="4">
        <v>1200</v>
      </c>
    </row>
    <row r="1360" spans="1:3" x14ac:dyDescent="0.25">
      <c r="A1360" s="3">
        <v>45779</v>
      </c>
      <c r="B1360" s="4">
        <v>1180</v>
      </c>
      <c r="C1360" s="4">
        <v>1200</v>
      </c>
    </row>
    <row r="1361" spans="1:3" x14ac:dyDescent="0.25">
      <c r="A1361" s="3">
        <v>45780</v>
      </c>
      <c r="B1361" s="4">
        <v>1180</v>
      </c>
      <c r="C1361" s="4">
        <v>1200</v>
      </c>
    </row>
    <row r="1362" spans="1:3" x14ac:dyDescent="0.25">
      <c r="A1362" s="3">
        <v>45781</v>
      </c>
      <c r="B1362" s="4">
        <v>1180</v>
      </c>
      <c r="C1362" s="4">
        <v>1200</v>
      </c>
    </row>
    <row r="1363" spans="1:3" x14ac:dyDescent="0.25">
      <c r="A1363" s="3">
        <v>45782</v>
      </c>
      <c r="B1363" s="4">
        <v>1165</v>
      </c>
      <c r="C1363" s="4">
        <v>1185</v>
      </c>
    </row>
    <row r="1364" spans="1:3" x14ac:dyDescent="0.25">
      <c r="A1364" s="3">
        <v>45783</v>
      </c>
      <c r="B1364" s="4">
        <v>1185</v>
      </c>
      <c r="C1364" s="4">
        <v>1205</v>
      </c>
    </row>
    <row r="1365" spans="1:3" x14ac:dyDescent="0.25">
      <c r="A1365" s="3">
        <v>45784</v>
      </c>
      <c r="B1365" s="4">
        <v>1170</v>
      </c>
      <c r="C1365" s="4">
        <v>1190</v>
      </c>
    </row>
    <row r="1366" spans="1:3" x14ac:dyDescent="0.25">
      <c r="A1366" s="3">
        <v>45785</v>
      </c>
      <c r="B1366" s="4">
        <v>1150</v>
      </c>
      <c r="C1366" s="4">
        <v>1170</v>
      </c>
    </row>
    <row r="1367" spans="1:3" x14ac:dyDescent="0.25">
      <c r="A1367" s="3">
        <v>45786</v>
      </c>
      <c r="B1367" s="4">
        <v>1145</v>
      </c>
      <c r="C1367" s="4">
        <v>1165</v>
      </c>
    </row>
    <row r="1368" spans="1:3" x14ac:dyDescent="0.25">
      <c r="A1368" s="3">
        <v>45787</v>
      </c>
      <c r="B1368" s="4">
        <v>1150</v>
      </c>
      <c r="C1368" s="4">
        <v>1170</v>
      </c>
    </row>
    <row r="1369" spans="1:3" x14ac:dyDescent="0.25">
      <c r="A1369" s="3">
        <v>45788</v>
      </c>
      <c r="B1369" s="4">
        <v>1150</v>
      </c>
      <c r="C1369" s="4">
        <v>1170</v>
      </c>
    </row>
    <row r="1370" spans="1:3" x14ac:dyDescent="0.25">
      <c r="A1370" s="3">
        <v>45789</v>
      </c>
      <c r="B1370" s="4">
        <v>1155</v>
      </c>
      <c r="C1370" s="4">
        <v>1175</v>
      </c>
    </row>
    <row r="1371" spans="1:3" x14ac:dyDescent="0.25">
      <c r="A1371" s="3">
        <v>45790</v>
      </c>
      <c r="B1371" s="4">
        <v>1155</v>
      </c>
      <c r="C1371" s="4">
        <v>1175</v>
      </c>
    </row>
    <row r="1372" spans="1:3" x14ac:dyDescent="0.25">
      <c r="A1372" s="3">
        <v>45791</v>
      </c>
      <c r="B1372" s="4">
        <v>1140</v>
      </c>
      <c r="C1372" s="4">
        <v>1160</v>
      </c>
    </row>
    <row r="1373" spans="1:3" x14ac:dyDescent="0.25">
      <c r="A1373" s="3">
        <v>45792</v>
      </c>
      <c r="B1373" s="4">
        <v>1145</v>
      </c>
      <c r="C1373" s="4">
        <v>1165</v>
      </c>
    </row>
    <row r="1374" spans="1:3" x14ac:dyDescent="0.25">
      <c r="A1374" s="3">
        <v>45793</v>
      </c>
      <c r="B1374" s="4">
        <v>1145</v>
      </c>
      <c r="C1374" s="4">
        <v>1165</v>
      </c>
    </row>
    <row r="1375" spans="1:3" x14ac:dyDescent="0.25">
      <c r="A1375" s="3">
        <v>45794</v>
      </c>
      <c r="B1375" s="4">
        <v>1145</v>
      </c>
      <c r="C1375" s="4">
        <v>1165</v>
      </c>
    </row>
    <row r="1376" spans="1:3" x14ac:dyDescent="0.25">
      <c r="A1376" s="3">
        <v>45795</v>
      </c>
      <c r="B1376" s="4">
        <v>1145</v>
      </c>
      <c r="C1376" s="4">
        <v>1165</v>
      </c>
    </row>
    <row r="1377" spans="1:3" x14ac:dyDescent="0.25">
      <c r="A1377" s="3">
        <v>45796</v>
      </c>
      <c r="B1377" s="4">
        <v>1145</v>
      </c>
      <c r="C1377" s="4">
        <v>1165</v>
      </c>
    </row>
    <row r="1378" spans="1:3" x14ac:dyDescent="0.25">
      <c r="A1378" s="3">
        <v>45797</v>
      </c>
      <c r="B1378" s="4">
        <v>1145</v>
      </c>
      <c r="C1378" s="4">
        <v>1165</v>
      </c>
    </row>
    <row r="1379" spans="1:3" x14ac:dyDescent="0.25">
      <c r="A1379" s="3">
        <v>45798</v>
      </c>
      <c r="B1379" s="4">
        <v>1155</v>
      </c>
      <c r="C1379" s="4">
        <v>1175</v>
      </c>
    </row>
    <row r="1380" spans="1:3" x14ac:dyDescent="0.25">
      <c r="A1380" s="3">
        <v>45799</v>
      </c>
      <c r="B1380" s="4">
        <v>1150</v>
      </c>
      <c r="C1380" s="4">
        <v>1170</v>
      </c>
    </row>
    <row r="1381" spans="1:3" x14ac:dyDescent="0.25">
      <c r="A1381" s="3">
        <v>45800</v>
      </c>
      <c r="B1381" s="4">
        <v>1155</v>
      </c>
      <c r="C1381" s="4">
        <v>1175</v>
      </c>
    </row>
    <row r="1382" spans="1:3" x14ac:dyDescent="0.25">
      <c r="A1382" s="3">
        <v>45801</v>
      </c>
      <c r="B1382" s="4">
        <v>1145</v>
      </c>
      <c r="C1382" s="4">
        <v>1165</v>
      </c>
    </row>
    <row r="1383" spans="1:3" x14ac:dyDescent="0.25">
      <c r="A1383" s="3">
        <v>45802</v>
      </c>
      <c r="B1383" s="4">
        <v>1150</v>
      </c>
      <c r="C1383" s="4">
        <v>1170</v>
      </c>
    </row>
    <row r="1384" spans="1:3" x14ac:dyDescent="0.25">
      <c r="A1384" s="3">
        <v>45803</v>
      </c>
      <c r="B1384" s="4">
        <v>1150</v>
      </c>
      <c r="C1384" s="4">
        <v>1170</v>
      </c>
    </row>
    <row r="1385" spans="1:3" x14ac:dyDescent="0.25">
      <c r="A1385" s="3">
        <v>45804</v>
      </c>
      <c r="B1385" s="4">
        <v>1150</v>
      </c>
      <c r="C1385" s="4">
        <v>1170</v>
      </c>
    </row>
    <row r="1386" spans="1:3" x14ac:dyDescent="0.25">
      <c r="A1386" s="3">
        <v>45805</v>
      </c>
      <c r="B1386" s="4">
        <v>1150</v>
      </c>
      <c r="C1386" s="4">
        <v>1170</v>
      </c>
    </row>
    <row r="1387" spans="1:3" x14ac:dyDescent="0.25">
      <c r="A1387" s="3">
        <v>45806</v>
      </c>
      <c r="B1387" s="4">
        <v>1150</v>
      </c>
      <c r="C1387" s="4">
        <v>1170</v>
      </c>
    </row>
    <row r="1388" spans="1:3" x14ac:dyDescent="0.25">
      <c r="A1388" s="3">
        <v>45807</v>
      </c>
      <c r="B1388" s="4">
        <v>1150</v>
      </c>
      <c r="C1388" s="4">
        <v>1170</v>
      </c>
    </row>
    <row r="1389" spans="1:3" x14ac:dyDescent="0.25">
      <c r="A1389" s="3">
        <v>45808</v>
      </c>
      <c r="B1389" s="4">
        <v>1150</v>
      </c>
      <c r="C1389" s="4">
        <v>1170</v>
      </c>
    </row>
    <row r="1390" spans="1:3" x14ac:dyDescent="0.25">
      <c r="A1390" s="3">
        <v>45809</v>
      </c>
      <c r="B1390" s="4">
        <v>1150</v>
      </c>
      <c r="C1390" s="4">
        <v>1170</v>
      </c>
    </row>
    <row r="1391" spans="1:3" x14ac:dyDescent="0.25">
      <c r="A1391" s="3">
        <v>45810</v>
      </c>
      <c r="B1391" s="4">
        <v>1160</v>
      </c>
      <c r="C1391" s="4">
        <v>1180</v>
      </c>
    </row>
    <row r="1392" spans="1:3" x14ac:dyDescent="0.25">
      <c r="A1392" s="3">
        <v>45811</v>
      </c>
      <c r="B1392" s="4">
        <v>1145</v>
      </c>
      <c r="C1392" s="4">
        <v>1165</v>
      </c>
    </row>
    <row r="1393" spans="1:3" x14ac:dyDescent="0.25">
      <c r="A1393" s="3">
        <v>45812</v>
      </c>
      <c r="B1393" s="4">
        <v>1140</v>
      </c>
      <c r="C1393" s="4">
        <v>1160</v>
      </c>
    </row>
    <row r="1394" spans="1:3" x14ac:dyDescent="0.25">
      <c r="A1394" s="3">
        <v>45813</v>
      </c>
      <c r="B1394" s="4">
        <v>1155</v>
      </c>
      <c r="C1394" s="4">
        <v>1175</v>
      </c>
    </row>
    <row r="1395" spans="1:3" x14ac:dyDescent="0.25">
      <c r="A1395" s="3">
        <v>45814</v>
      </c>
      <c r="B1395" s="4">
        <v>1155</v>
      </c>
      <c r="C1395" s="4">
        <v>1175</v>
      </c>
    </row>
    <row r="1396" spans="1:3" x14ac:dyDescent="0.25">
      <c r="A1396" s="3">
        <v>45815</v>
      </c>
      <c r="B1396" s="4">
        <v>1155</v>
      </c>
      <c r="C1396" s="4">
        <v>1175</v>
      </c>
    </row>
    <row r="1397" spans="1:3" x14ac:dyDescent="0.25">
      <c r="A1397" s="3">
        <v>45816</v>
      </c>
      <c r="B1397" s="4">
        <v>1155</v>
      </c>
      <c r="C1397" s="4">
        <v>1175</v>
      </c>
    </row>
    <row r="1398" spans="1:3" x14ac:dyDescent="0.25">
      <c r="A1398" s="3">
        <v>45817</v>
      </c>
      <c r="B1398" s="4">
        <v>1145</v>
      </c>
      <c r="C1398" s="4">
        <v>1165</v>
      </c>
    </row>
    <row r="1399" spans="1:3" x14ac:dyDescent="0.25">
      <c r="A1399" s="3">
        <v>45818</v>
      </c>
      <c r="B1399" s="4">
        <v>1165</v>
      </c>
      <c r="C1399" s="4">
        <v>1185</v>
      </c>
    </row>
    <row r="1400" spans="1:3" x14ac:dyDescent="0.25">
      <c r="A1400" s="3">
        <v>45819</v>
      </c>
      <c r="B1400" s="4">
        <v>1170</v>
      </c>
      <c r="C1400" s="4">
        <v>1190</v>
      </c>
    </row>
    <row r="1401" spans="1:3" x14ac:dyDescent="0.25">
      <c r="A1401" s="3">
        <v>45820</v>
      </c>
      <c r="B1401" s="4">
        <v>1160</v>
      </c>
      <c r="C1401" s="4">
        <v>1180</v>
      </c>
    </row>
    <row r="1402" spans="1:3" x14ac:dyDescent="0.25">
      <c r="A1402" s="3">
        <v>45821</v>
      </c>
      <c r="B1402" s="4">
        <v>1165</v>
      </c>
      <c r="C1402" s="4">
        <v>1185</v>
      </c>
    </row>
    <row r="1403" spans="1:3" x14ac:dyDescent="0.25">
      <c r="A1403" s="3">
        <v>45822</v>
      </c>
      <c r="B1403" s="4">
        <v>1165</v>
      </c>
      <c r="C1403" s="4">
        <v>1185</v>
      </c>
    </row>
    <row r="1404" spans="1:3" x14ac:dyDescent="0.25">
      <c r="A1404" s="3">
        <v>45823</v>
      </c>
      <c r="B1404" s="4">
        <v>1170</v>
      </c>
      <c r="C1404" s="4">
        <v>1190</v>
      </c>
    </row>
    <row r="1405" spans="1:3" x14ac:dyDescent="0.25">
      <c r="A1405" s="3">
        <v>45824</v>
      </c>
      <c r="B1405" s="4">
        <v>1165</v>
      </c>
      <c r="C1405" s="4">
        <v>1185</v>
      </c>
    </row>
    <row r="1406" spans="1:3" x14ac:dyDescent="0.25">
      <c r="A1406" s="3">
        <v>45825</v>
      </c>
      <c r="B1406" s="4">
        <v>1170</v>
      </c>
      <c r="C1406" s="4">
        <v>1190</v>
      </c>
    </row>
    <row r="1407" spans="1:3" x14ac:dyDescent="0.25">
      <c r="A1407" s="3">
        <v>45826</v>
      </c>
      <c r="B1407" s="4">
        <v>1185</v>
      </c>
      <c r="C1407" s="4">
        <v>1205</v>
      </c>
    </row>
    <row r="1408" spans="1:3" x14ac:dyDescent="0.25">
      <c r="A1408" s="3">
        <v>45827</v>
      </c>
      <c r="B1408" s="4">
        <v>1170</v>
      </c>
      <c r="C1408" s="4">
        <v>1190</v>
      </c>
    </row>
    <row r="1409" spans="1:3" x14ac:dyDescent="0.25">
      <c r="A1409" s="3">
        <v>45828</v>
      </c>
      <c r="B1409" s="4">
        <v>1170</v>
      </c>
      <c r="C1409" s="4">
        <v>1190</v>
      </c>
    </row>
    <row r="1410" spans="1:3" x14ac:dyDescent="0.25">
      <c r="A1410" s="3">
        <v>45829</v>
      </c>
      <c r="B1410" s="4">
        <v>1170</v>
      </c>
      <c r="C1410" s="4">
        <v>1190</v>
      </c>
    </row>
    <row r="1411" spans="1:3" x14ac:dyDescent="0.25">
      <c r="A1411" s="3">
        <v>45830</v>
      </c>
      <c r="B1411" s="4">
        <v>1170</v>
      </c>
      <c r="C1411" s="4">
        <v>1190</v>
      </c>
    </row>
    <row r="1412" spans="1:3" x14ac:dyDescent="0.25">
      <c r="A1412" s="3">
        <v>45831</v>
      </c>
      <c r="B1412" s="4">
        <v>1180</v>
      </c>
      <c r="C1412" s="4">
        <v>1200</v>
      </c>
    </row>
    <row r="1413" spans="1:3" x14ac:dyDescent="0.25">
      <c r="A1413" s="3">
        <v>45832</v>
      </c>
      <c r="B1413" s="4">
        <v>1190</v>
      </c>
      <c r="C1413" s="4">
        <v>1210</v>
      </c>
    </row>
    <row r="1414" spans="1:3" x14ac:dyDescent="0.25">
      <c r="A1414" s="3">
        <v>45833</v>
      </c>
      <c r="B1414" s="4">
        <v>1195</v>
      </c>
      <c r="C1414" s="4">
        <v>1215</v>
      </c>
    </row>
    <row r="1415" spans="1:3" x14ac:dyDescent="0.25">
      <c r="A1415" s="3">
        <v>45834</v>
      </c>
      <c r="B1415" s="4">
        <v>1190</v>
      </c>
      <c r="C1415" s="4">
        <v>1210</v>
      </c>
    </row>
    <row r="1416" spans="1:3" x14ac:dyDescent="0.25">
      <c r="A1416" s="3">
        <v>45835</v>
      </c>
      <c r="B1416" s="4">
        <v>1190</v>
      </c>
      <c r="C1416" s="4">
        <v>1210</v>
      </c>
    </row>
    <row r="1417" spans="1:3" x14ac:dyDescent="0.25">
      <c r="A1417" s="3">
        <v>45838</v>
      </c>
      <c r="B1417" s="4">
        <v>1190</v>
      </c>
      <c r="C1417" s="4">
        <v>1210</v>
      </c>
    </row>
    <row r="1418" spans="1:3" x14ac:dyDescent="0.25">
      <c r="A1418" s="3">
        <v>45839</v>
      </c>
      <c r="B1418" s="4">
        <v>1205</v>
      </c>
      <c r="C1418" s="4">
        <v>1225</v>
      </c>
    </row>
    <row r="1419" spans="1:3" x14ac:dyDescent="0.25">
      <c r="A1419" s="3">
        <v>45840</v>
      </c>
      <c r="B1419" s="4">
        <v>1220</v>
      </c>
      <c r="C1419" s="4">
        <v>1240</v>
      </c>
    </row>
    <row r="1420" spans="1:3" x14ac:dyDescent="0.25">
      <c r="A1420" s="3">
        <v>45841</v>
      </c>
      <c r="B1420" s="4">
        <v>1205</v>
      </c>
      <c r="C1420" s="4">
        <v>1225</v>
      </c>
    </row>
    <row r="1421" spans="1:3" x14ac:dyDescent="0.25">
      <c r="A1421" s="3">
        <v>45842</v>
      </c>
      <c r="B1421" s="4">
        <v>1210</v>
      </c>
      <c r="C1421" s="4">
        <v>1230</v>
      </c>
    </row>
    <row r="1422" spans="1:3" x14ac:dyDescent="0.25">
      <c r="A1422" s="3">
        <v>45843</v>
      </c>
      <c r="B1422" s="4">
        <v>1210</v>
      </c>
      <c r="C1422" s="4">
        <v>1230</v>
      </c>
    </row>
    <row r="1423" spans="1:3" x14ac:dyDescent="0.25">
      <c r="A1423" s="3">
        <v>45844</v>
      </c>
      <c r="B1423" s="4">
        <v>1210</v>
      </c>
      <c r="C1423" s="4">
        <v>1230</v>
      </c>
    </row>
    <row r="1424" spans="1:3" x14ac:dyDescent="0.25">
      <c r="A1424" s="3">
        <v>45845</v>
      </c>
      <c r="B1424" s="4">
        <v>1250</v>
      </c>
      <c r="C1424" s="4">
        <v>1270</v>
      </c>
    </row>
    <row r="1425" spans="1:3" x14ac:dyDescent="0.25">
      <c r="A1425" s="3">
        <v>45846</v>
      </c>
      <c r="B1425" s="4">
        <v>1260</v>
      </c>
      <c r="C1425" s="4">
        <v>1280</v>
      </c>
    </row>
    <row r="1426" spans="1:3" x14ac:dyDescent="0.25">
      <c r="A1426" s="3">
        <v>45847</v>
      </c>
      <c r="B1426" s="4">
        <v>1260</v>
      </c>
      <c r="C1426" s="4">
        <v>1280</v>
      </c>
    </row>
    <row r="1427" spans="1:3" x14ac:dyDescent="0.25">
      <c r="A1427" s="3">
        <v>45848</v>
      </c>
      <c r="B1427" s="4">
        <v>1275</v>
      </c>
      <c r="C1427" s="4">
        <v>1295</v>
      </c>
    </row>
    <row r="1428" spans="1:3" x14ac:dyDescent="0.25">
      <c r="A1428" s="3">
        <v>45849</v>
      </c>
      <c r="B1428" s="4">
        <v>1280</v>
      </c>
      <c r="C1428" s="4">
        <v>1300</v>
      </c>
    </row>
    <row r="1429" spans="1:3" x14ac:dyDescent="0.25">
      <c r="A1429" s="3">
        <v>45850</v>
      </c>
      <c r="B1429" s="4">
        <v>1280</v>
      </c>
      <c r="C1429" s="4">
        <v>1300</v>
      </c>
    </row>
    <row r="1430" spans="1:3" x14ac:dyDescent="0.25">
      <c r="A1430" s="3">
        <v>45851</v>
      </c>
      <c r="B1430" s="4">
        <v>1280</v>
      </c>
      <c r="C1430" s="4">
        <v>1300</v>
      </c>
    </row>
    <row r="1431" spans="1:3" x14ac:dyDescent="0.25">
      <c r="A1431" s="3">
        <v>45852</v>
      </c>
      <c r="B1431" s="4">
        <v>1320</v>
      </c>
      <c r="C1431" s="4">
        <v>1340</v>
      </c>
    </row>
    <row r="1432" spans="1:3" x14ac:dyDescent="0.25">
      <c r="A1432" s="3">
        <v>45853</v>
      </c>
      <c r="B1432" s="4">
        <v>1310</v>
      </c>
      <c r="C1432" s="4">
        <v>1330</v>
      </c>
    </row>
    <row r="1433" spans="1:3" x14ac:dyDescent="0.25">
      <c r="A1433" s="3">
        <v>45854</v>
      </c>
      <c r="B1433" s="4">
        <v>1275</v>
      </c>
      <c r="C1433" s="4">
        <v>1295</v>
      </c>
    </row>
    <row r="1434" spans="1:3" x14ac:dyDescent="0.25">
      <c r="A1434" s="3">
        <v>45855</v>
      </c>
      <c r="B1434" s="4">
        <v>1275</v>
      </c>
      <c r="C1434" s="4">
        <v>1295</v>
      </c>
    </row>
    <row r="1435" spans="1:3" x14ac:dyDescent="0.25">
      <c r="A1435" s="3">
        <v>45856</v>
      </c>
      <c r="B1435" s="4">
        <v>1285</v>
      </c>
      <c r="C1435" s="4">
        <v>1305</v>
      </c>
    </row>
    <row r="1436" spans="1:3" x14ac:dyDescent="0.25">
      <c r="A1436" s="3">
        <v>45857</v>
      </c>
      <c r="B1436" s="4">
        <v>1285</v>
      </c>
      <c r="C1436" s="4">
        <v>1305</v>
      </c>
    </row>
    <row r="1437" spans="1:3" x14ac:dyDescent="0.25">
      <c r="A1437" s="3">
        <v>45858</v>
      </c>
      <c r="B1437" s="4">
        <v>1285</v>
      </c>
      <c r="C1437" s="4">
        <v>1305</v>
      </c>
    </row>
    <row r="1438" spans="1:3" x14ac:dyDescent="0.25">
      <c r="A1438" s="3">
        <v>45859</v>
      </c>
      <c r="B1438" s="4">
        <v>1305</v>
      </c>
      <c r="C1438" s="4">
        <v>1325</v>
      </c>
    </row>
    <row r="1439" spans="1:3" x14ac:dyDescent="0.25">
      <c r="A1439" s="3">
        <v>45860</v>
      </c>
      <c r="B1439" s="4">
        <v>1290</v>
      </c>
      <c r="C1439" s="4">
        <v>1310</v>
      </c>
    </row>
    <row r="1440" spans="1:3" x14ac:dyDescent="0.25">
      <c r="A1440" s="3">
        <v>45861</v>
      </c>
      <c r="B1440" s="4">
        <v>1290</v>
      </c>
      <c r="C1440" s="4">
        <v>1310</v>
      </c>
    </row>
    <row r="1441" spans="1:3" x14ac:dyDescent="0.25">
      <c r="A1441" s="3">
        <v>45862</v>
      </c>
      <c r="B1441" s="4">
        <v>1300</v>
      </c>
      <c r="C1441" s="4">
        <v>1320</v>
      </c>
    </row>
    <row r="1442" spans="1:3" x14ac:dyDescent="0.25">
      <c r="A1442" s="3">
        <v>45863</v>
      </c>
      <c r="B1442" s="4">
        <v>1300</v>
      </c>
      <c r="C1442" s="4">
        <v>1320</v>
      </c>
    </row>
    <row r="1443" spans="1:3" x14ac:dyDescent="0.25">
      <c r="A1443" s="3">
        <v>45866</v>
      </c>
      <c r="B1443" s="4">
        <v>1295</v>
      </c>
      <c r="C1443" s="4">
        <v>1315</v>
      </c>
    </row>
    <row r="1444" spans="1:3" x14ac:dyDescent="0.25">
      <c r="A1444" s="3">
        <v>45867</v>
      </c>
      <c r="B1444" s="4">
        <v>1300</v>
      </c>
      <c r="C1444" s="4">
        <v>1320</v>
      </c>
    </row>
    <row r="1445" spans="1:3" x14ac:dyDescent="0.25">
      <c r="A1445" s="3">
        <v>45868</v>
      </c>
      <c r="B1445" s="4">
        <v>1300</v>
      </c>
      <c r="C1445" s="4">
        <v>1320</v>
      </c>
    </row>
    <row r="1446" spans="1:3" x14ac:dyDescent="0.25">
      <c r="A1446" s="3">
        <v>45869</v>
      </c>
      <c r="B1446" s="4">
        <v>1300</v>
      </c>
      <c r="C1446" s="4">
        <v>1320</v>
      </c>
    </row>
    <row r="1447" spans="1:3" x14ac:dyDescent="0.25">
      <c r="A1447" s="3">
        <v>45870</v>
      </c>
      <c r="B1447" s="4">
        <v>1315</v>
      </c>
      <c r="C1447" s="4">
        <v>1335</v>
      </c>
    </row>
    <row r="1448" spans="1:3" x14ac:dyDescent="0.25">
      <c r="A1448" s="3">
        <v>45871</v>
      </c>
      <c r="B1448" s="4">
        <v>1315</v>
      </c>
      <c r="C1448" s="4">
        <v>1335</v>
      </c>
    </row>
    <row r="1449" spans="1:3" x14ac:dyDescent="0.25">
      <c r="A1449" s="3">
        <v>45872</v>
      </c>
      <c r="B1449" s="4">
        <v>1315</v>
      </c>
      <c r="C1449" s="4">
        <v>1335</v>
      </c>
    </row>
    <row r="1450" spans="1:3" x14ac:dyDescent="0.25">
      <c r="A1450" s="3">
        <v>45873</v>
      </c>
      <c r="B1450" s="4">
        <v>1310</v>
      </c>
      <c r="C1450" s="4">
        <v>1330</v>
      </c>
    </row>
    <row r="1451" spans="1:3" x14ac:dyDescent="0.25">
      <c r="A1451" s="3">
        <v>45874</v>
      </c>
      <c r="B1451" s="4">
        <v>1305</v>
      </c>
      <c r="C1451" s="4">
        <v>1325</v>
      </c>
    </row>
    <row r="1452" spans="1:3" x14ac:dyDescent="0.25">
      <c r="A1452" s="3">
        <v>45875</v>
      </c>
      <c r="B1452" s="4">
        <v>1300</v>
      </c>
      <c r="C1452" s="4">
        <v>1320</v>
      </c>
    </row>
    <row r="1453" spans="1:3" x14ac:dyDescent="0.25">
      <c r="A1453" s="3">
        <v>45876</v>
      </c>
      <c r="B1453" s="4">
        <v>1305</v>
      </c>
      <c r="C1453" s="4">
        <v>1325</v>
      </c>
    </row>
    <row r="1454" spans="1:3" x14ac:dyDescent="0.25">
      <c r="A1454" s="3">
        <v>45877</v>
      </c>
      <c r="B1454" s="4">
        <v>1305</v>
      </c>
      <c r="C1454" s="4">
        <v>1325</v>
      </c>
    </row>
    <row r="1455" spans="1:3" x14ac:dyDescent="0.25">
      <c r="A1455" s="3">
        <v>45878</v>
      </c>
      <c r="B1455" s="4">
        <v>1305</v>
      </c>
      <c r="C1455" s="4">
        <v>1325</v>
      </c>
    </row>
    <row r="1456" spans="1:3" x14ac:dyDescent="0.25">
      <c r="A1456" s="3">
        <v>45879</v>
      </c>
      <c r="B1456" s="4">
        <v>1305</v>
      </c>
      <c r="C1456" s="4">
        <v>1325</v>
      </c>
    </row>
    <row r="1457" spans="1:3" x14ac:dyDescent="0.25">
      <c r="A1457" s="3">
        <v>45880</v>
      </c>
      <c r="B1457" s="4">
        <v>1315</v>
      </c>
      <c r="C1457" s="4">
        <v>1335</v>
      </c>
    </row>
    <row r="1458" spans="1:3" x14ac:dyDescent="0.25">
      <c r="A1458" s="3">
        <v>45881</v>
      </c>
      <c r="B1458" s="4">
        <v>1310</v>
      </c>
      <c r="C1458" s="4">
        <v>1330</v>
      </c>
    </row>
    <row r="1459" spans="1:3" x14ac:dyDescent="0.25">
      <c r="A1459" s="3">
        <v>45882</v>
      </c>
      <c r="B1459" s="4">
        <v>1320</v>
      </c>
      <c r="C1459" s="4">
        <v>1340</v>
      </c>
    </row>
    <row r="1460" spans="1:3" x14ac:dyDescent="0.25">
      <c r="A1460" s="3">
        <v>45883</v>
      </c>
      <c r="B1460" s="4">
        <v>1300</v>
      </c>
      <c r="C1460" s="4">
        <v>1320</v>
      </c>
    </row>
    <row r="1461" spans="1:3" x14ac:dyDescent="0.25">
      <c r="A1461" s="3">
        <v>45884</v>
      </c>
      <c r="B1461" s="4">
        <v>1300</v>
      </c>
      <c r="C1461" s="4">
        <v>1320</v>
      </c>
    </row>
    <row r="1462" spans="1:3" x14ac:dyDescent="0.25">
      <c r="A1462" s="3">
        <v>45885</v>
      </c>
      <c r="B1462" s="4">
        <v>1300</v>
      </c>
      <c r="C1462" s="4">
        <v>1320</v>
      </c>
    </row>
    <row r="1463" spans="1:3" x14ac:dyDescent="0.25">
      <c r="A1463" s="3">
        <v>45886</v>
      </c>
      <c r="B1463" s="4">
        <v>1300</v>
      </c>
      <c r="C1463" s="4">
        <v>1320</v>
      </c>
    </row>
    <row r="1464" spans="1:3" x14ac:dyDescent="0.25">
      <c r="A1464" s="3">
        <v>45887</v>
      </c>
      <c r="B1464" s="4">
        <v>1315</v>
      </c>
      <c r="C1464" s="4">
        <v>1335</v>
      </c>
    </row>
    <row r="1465" spans="1:3" x14ac:dyDescent="0.25">
      <c r="A1465" s="3">
        <v>45888</v>
      </c>
      <c r="B1465" s="4">
        <v>1320</v>
      </c>
      <c r="C1465" s="4">
        <v>1340</v>
      </c>
    </row>
    <row r="1466" spans="1:3" x14ac:dyDescent="0.25">
      <c r="A1466" s="3">
        <v>45889</v>
      </c>
      <c r="B1466" s="4">
        <v>1320</v>
      </c>
      <c r="C1466" s="4">
        <v>1340</v>
      </c>
    </row>
    <row r="1467" spans="1:3" x14ac:dyDescent="0.25">
      <c r="A1467" s="3">
        <v>45890</v>
      </c>
      <c r="B1467" s="4">
        <v>1320</v>
      </c>
      <c r="C1467" s="4">
        <v>1340</v>
      </c>
    </row>
    <row r="1468" spans="1:3" x14ac:dyDescent="0.25">
      <c r="A1468" s="3">
        <v>45891</v>
      </c>
      <c r="B1468" s="4">
        <v>1325</v>
      </c>
      <c r="C1468" s="4">
        <v>1345</v>
      </c>
    </row>
    <row r="1469" spans="1:3" x14ac:dyDescent="0.25">
      <c r="A1469" s="3">
        <v>45892</v>
      </c>
      <c r="B1469" s="4">
        <v>1325</v>
      </c>
      <c r="C1469" s="4">
        <v>1345</v>
      </c>
    </row>
    <row r="1470" spans="1:3" x14ac:dyDescent="0.25">
      <c r="A1470" s="3">
        <v>45893</v>
      </c>
      <c r="B1470" s="4">
        <v>1325</v>
      </c>
      <c r="C1470" s="4">
        <v>1345</v>
      </c>
    </row>
    <row r="1471" spans="1:3" x14ac:dyDescent="0.25">
      <c r="A1471" s="3">
        <v>45894</v>
      </c>
      <c r="B1471" s="4">
        <v>1345</v>
      </c>
      <c r="C1471" s="4">
        <v>1365</v>
      </c>
    </row>
    <row r="1472" spans="1:3" x14ac:dyDescent="0.25">
      <c r="A1472" s="3">
        <v>45895</v>
      </c>
      <c r="B1472" s="4">
        <v>1345</v>
      </c>
      <c r="C1472" s="4">
        <v>1365</v>
      </c>
    </row>
    <row r="1473" spans="1:3" x14ac:dyDescent="0.25">
      <c r="A1473" s="3">
        <v>45896</v>
      </c>
      <c r="B1473" s="4">
        <v>1345</v>
      </c>
      <c r="C1473" s="4">
        <v>1365</v>
      </c>
    </row>
    <row r="1474" spans="1:3" x14ac:dyDescent="0.25">
      <c r="A1474" s="3">
        <v>45897</v>
      </c>
      <c r="B1474" s="4">
        <v>1330</v>
      </c>
      <c r="C1474" s="4">
        <v>1350</v>
      </c>
    </row>
    <row r="1475" spans="1:3" x14ac:dyDescent="0.25">
      <c r="A1475" s="3">
        <v>45898</v>
      </c>
      <c r="B1475" s="4">
        <v>1330</v>
      </c>
      <c r="C1475" s="4">
        <v>1350</v>
      </c>
    </row>
    <row r="1476" spans="1:3" x14ac:dyDescent="0.25">
      <c r="A1476" s="3">
        <v>45899</v>
      </c>
      <c r="B1476" s="4">
        <v>1330</v>
      </c>
      <c r="C1476" s="4">
        <v>1350</v>
      </c>
    </row>
    <row r="1477" spans="1:3" x14ac:dyDescent="0.25">
      <c r="A1477" s="3">
        <v>45900</v>
      </c>
      <c r="B1477" s="4">
        <v>1330</v>
      </c>
      <c r="C1477" s="4">
        <v>1350</v>
      </c>
    </row>
    <row r="1478" spans="1:3" x14ac:dyDescent="0.25">
      <c r="A1478" s="3">
        <v>45901</v>
      </c>
      <c r="B1478" s="4">
        <v>1335</v>
      </c>
      <c r="C1478" s="4">
        <v>1355</v>
      </c>
    </row>
    <row r="1479" spans="1:3" x14ac:dyDescent="0.25">
      <c r="A1479" s="3">
        <v>45902</v>
      </c>
      <c r="B1479" s="4">
        <v>1340</v>
      </c>
      <c r="C1479" s="4">
        <v>1360</v>
      </c>
    </row>
    <row r="1480" spans="1:3" x14ac:dyDescent="0.25">
      <c r="A1480" s="3">
        <v>45903</v>
      </c>
      <c r="B1480" s="4">
        <v>1330</v>
      </c>
      <c r="C1480" s="4">
        <v>1350</v>
      </c>
    </row>
    <row r="1481" spans="1:3" x14ac:dyDescent="0.25">
      <c r="A1481" s="3">
        <v>45904</v>
      </c>
      <c r="B1481" s="4">
        <v>1345</v>
      </c>
      <c r="C1481" s="4">
        <v>1365</v>
      </c>
    </row>
    <row r="1482" spans="1:3" x14ac:dyDescent="0.25">
      <c r="A1482" s="3">
        <v>45905</v>
      </c>
      <c r="B1482" s="4">
        <v>1350</v>
      </c>
      <c r="C1482" s="4">
        <v>1370</v>
      </c>
    </row>
    <row r="1483" spans="1:3" x14ac:dyDescent="0.25">
      <c r="A1483" s="3">
        <v>45906</v>
      </c>
      <c r="B1483" s="4">
        <v>1350</v>
      </c>
      <c r="C1483" s="4">
        <v>1370</v>
      </c>
    </row>
    <row r="1484" spans="1:3" x14ac:dyDescent="0.25">
      <c r="A1484" s="3">
        <v>45907</v>
      </c>
      <c r="B1484" s="4">
        <v>1350</v>
      </c>
      <c r="C1484" s="4">
        <v>1370</v>
      </c>
    </row>
    <row r="1485" spans="1:3" x14ac:dyDescent="0.25">
      <c r="A1485" s="3">
        <v>45908</v>
      </c>
      <c r="B1485" s="4">
        <v>1355</v>
      </c>
      <c r="C1485" s="4">
        <v>1385</v>
      </c>
    </row>
    <row r="1486" spans="1:3" x14ac:dyDescent="0.25">
      <c r="A1486" s="3">
        <v>45909</v>
      </c>
      <c r="B1486" s="4">
        <v>1365</v>
      </c>
      <c r="C1486" s="4">
        <v>1385</v>
      </c>
    </row>
    <row r="1487" spans="1:3" x14ac:dyDescent="0.25">
      <c r="A1487" s="3">
        <v>45910</v>
      </c>
      <c r="B1487" s="4">
        <v>1375</v>
      </c>
      <c r="C1487" s="4">
        <v>1395</v>
      </c>
    </row>
    <row r="1488" spans="1:3" x14ac:dyDescent="0.25">
      <c r="A1488" s="3">
        <v>45911</v>
      </c>
      <c r="B1488" s="4">
        <v>1390</v>
      </c>
      <c r="C1488" s="4">
        <v>1410</v>
      </c>
    </row>
    <row r="1489" spans="1:3" x14ac:dyDescent="0.25">
      <c r="A1489" s="3">
        <v>45912</v>
      </c>
      <c r="B1489" s="4">
        <v>1405</v>
      </c>
      <c r="C1489" s="4">
        <v>1425</v>
      </c>
    </row>
    <row r="1490" spans="1:3" x14ac:dyDescent="0.25">
      <c r="A1490" s="3">
        <v>45913</v>
      </c>
      <c r="B1490" s="4">
        <v>1405</v>
      </c>
      <c r="C1490" s="4">
        <v>1425</v>
      </c>
    </row>
    <row r="1491" spans="1:3" x14ac:dyDescent="0.25">
      <c r="A1491" s="3">
        <v>45914</v>
      </c>
      <c r="B1491" s="4">
        <v>1405</v>
      </c>
      <c r="C1491" s="4">
        <v>1425</v>
      </c>
    </row>
    <row r="1492" spans="1:3" x14ac:dyDescent="0.25">
      <c r="A1492" s="3">
        <v>45915</v>
      </c>
      <c r="B1492" s="4">
        <v>1435</v>
      </c>
      <c r="C1492" s="4">
        <v>1455</v>
      </c>
    </row>
    <row r="1493" spans="1:3" x14ac:dyDescent="0.25">
      <c r="A1493" s="3">
        <v>45916</v>
      </c>
      <c r="B1493" s="4">
        <v>1435</v>
      </c>
      <c r="C1493" s="4">
        <v>1455</v>
      </c>
    </row>
    <row r="1494" spans="1:3" x14ac:dyDescent="0.25">
      <c r="A1494" s="3">
        <v>45917</v>
      </c>
      <c r="B1494" s="4">
        <v>1470</v>
      </c>
      <c r="C1494" s="4">
        <v>1490</v>
      </c>
    </row>
    <row r="1495" spans="1:3" x14ac:dyDescent="0.25">
      <c r="A1495" s="3">
        <v>45918</v>
      </c>
      <c r="B1495" s="4">
        <v>1490</v>
      </c>
      <c r="C1495" s="4">
        <v>1510</v>
      </c>
    </row>
    <row r="1496" spans="1:3" x14ac:dyDescent="0.25">
      <c r="A1496" s="3">
        <v>45919</v>
      </c>
      <c r="B1496" s="4">
        <v>1500</v>
      </c>
      <c r="C1496" s="4">
        <v>1520</v>
      </c>
    </row>
    <row r="1497" spans="1:3" x14ac:dyDescent="0.25">
      <c r="A1497" s="3">
        <v>45920</v>
      </c>
      <c r="B1497" s="4">
        <v>1500</v>
      </c>
      <c r="C1497" s="4">
        <v>1520</v>
      </c>
    </row>
    <row r="1498" spans="1:3" x14ac:dyDescent="0.25">
      <c r="A1498" s="3">
        <v>45921</v>
      </c>
      <c r="B1498" s="4">
        <v>1500</v>
      </c>
      <c r="C1498" s="4">
        <v>1520</v>
      </c>
    </row>
    <row r="1499" spans="1:3" x14ac:dyDescent="0.25">
      <c r="A1499" s="3">
        <v>45922</v>
      </c>
      <c r="B1499" s="4">
        <v>1455</v>
      </c>
      <c r="C1499" s="4">
        <v>1475</v>
      </c>
    </row>
    <row r="1500" spans="1:3" x14ac:dyDescent="0.25">
      <c r="A1500" s="3">
        <v>45923</v>
      </c>
      <c r="B1500" s="4">
        <v>1390</v>
      </c>
      <c r="C1500" s="4">
        <v>1410</v>
      </c>
    </row>
    <row r="1501" spans="1:3" x14ac:dyDescent="0.25">
      <c r="A1501" s="3">
        <v>45924</v>
      </c>
      <c r="B1501" s="4">
        <v>1385</v>
      </c>
      <c r="C1501" s="4">
        <v>1405</v>
      </c>
    </row>
    <row r="1502" spans="1:3" x14ac:dyDescent="0.25">
      <c r="A1502" s="3">
        <v>45925</v>
      </c>
      <c r="B1502" s="4">
        <v>1385</v>
      </c>
      <c r="C1502" s="4">
        <v>1405</v>
      </c>
    </row>
    <row r="1503" spans="1:3" x14ac:dyDescent="0.25">
      <c r="A1503" s="3">
        <v>45926</v>
      </c>
      <c r="B1503" s="4">
        <v>1420</v>
      </c>
      <c r="C1503" s="4">
        <v>1440</v>
      </c>
    </row>
    <row r="1504" spans="1:3" x14ac:dyDescent="0.25">
      <c r="A1504" s="3">
        <v>45927</v>
      </c>
      <c r="B1504" s="4">
        <v>1420</v>
      </c>
      <c r="C1504" s="4">
        <v>1440</v>
      </c>
    </row>
    <row r="1505" spans="1:3" x14ac:dyDescent="0.25">
      <c r="A1505" s="3">
        <v>45928</v>
      </c>
      <c r="B1505" s="4">
        <v>1420</v>
      </c>
      <c r="C1505" s="4">
        <v>1440</v>
      </c>
    </row>
    <row r="1506" spans="1:3" x14ac:dyDescent="0.25">
      <c r="A1506" s="3">
        <v>45929</v>
      </c>
      <c r="B1506" s="4">
        <v>1410</v>
      </c>
      <c r="C1506" s="4">
        <v>1430</v>
      </c>
    </row>
    <row r="1507" spans="1:3" x14ac:dyDescent="0.25">
      <c r="A1507" s="3">
        <v>45930</v>
      </c>
      <c r="B1507" s="4">
        <v>1425</v>
      </c>
      <c r="C1507" s="4">
        <v>1445</v>
      </c>
    </row>
    <row r="1508" spans="1:3" x14ac:dyDescent="0.25">
      <c r="A1508" s="3">
        <v>45931</v>
      </c>
      <c r="B1508" s="4">
        <v>1455</v>
      </c>
      <c r="C1508" s="4">
        <v>1475</v>
      </c>
    </row>
    <row r="1509" spans="1:3" x14ac:dyDescent="0.25">
      <c r="A1509" s="3">
        <v>45932</v>
      </c>
      <c r="B1509" s="4">
        <v>1430</v>
      </c>
      <c r="C1509" s="4">
        <v>1450</v>
      </c>
    </row>
    <row r="1510" spans="1:3" x14ac:dyDescent="0.25">
      <c r="A1510" s="3">
        <v>45933</v>
      </c>
      <c r="B1510" s="4">
        <v>1420</v>
      </c>
      <c r="C1510" s="4">
        <v>1440</v>
      </c>
    </row>
    <row r="1511" spans="1:3" x14ac:dyDescent="0.25">
      <c r="A1511" s="3">
        <v>45934</v>
      </c>
      <c r="B1511" s="4">
        <v>1420</v>
      </c>
      <c r="C1511" s="4">
        <v>1440</v>
      </c>
    </row>
    <row r="1512" spans="1:3" x14ac:dyDescent="0.25">
      <c r="A1512" s="3">
        <v>45935</v>
      </c>
      <c r="B1512" s="4">
        <v>1420</v>
      </c>
      <c r="C1512" s="4">
        <v>1440</v>
      </c>
    </row>
    <row r="1513" spans="1:3" x14ac:dyDescent="0.25">
      <c r="A1513" s="3">
        <v>45936</v>
      </c>
      <c r="B1513" s="4">
        <v>1430</v>
      </c>
      <c r="C1513" s="4">
        <v>1450</v>
      </c>
    </row>
    <row r="1514" spans="1:3" x14ac:dyDescent="0.25">
      <c r="A1514" s="3">
        <v>45937</v>
      </c>
      <c r="B1514" s="4">
        <v>1440</v>
      </c>
      <c r="C1514" s="4">
        <v>1460</v>
      </c>
    </row>
    <row r="1515" spans="1:3" x14ac:dyDescent="0.25">
      <c r="A1515" s="3">
        <v>45938</v>
      </c>
      <c r="B1515" s="4">
        <v>1455</v>
      </c>
      <c r="C1515" s="4">
        <v>1475</v>
      </c>
    </row>
    <row r="1516" spans="1:3" x14ac:dyDescent="0.25">
      <c r="A1516" s="3">
        <v>45939</v>
      </c>
      <c r="B1516" s="4">
        <v>1455</v>
      </c>
      <c r="C1516" s="4">
        <v>1475</v>
      </c>
    </row>
    <row r="1517" spans="1:3" x14ac:dyDescent="0.25">
      <c r="A1517" s="3">
        <v>45940</v>
      </c>
      <c r="B1517" s="4">
        <v>1455</v>
      </c>
      <c r="C1517" s="4">
        <v>1475</v>
      </c>
    </row>
    <row r="1518" spans="1:3" x14ac:dyDescent="0.25">
      <c r="A1518" s="3">
        <v>45941</v>
      </c>
      <c r="B1518" s="4">
        <v>1455</v>
      </c>
      <c r="C1518" s="4">
        <v>1475</v>
      </c>
    </row>
    <row r="1519" spans="1:3" x14ac:dyDescent="0.25">
      <c r="A1519" s="3">
        <v>45942</v>
      </c>
      <c r="B1519" s="4">
        <v>1455</v>
      </c>
      <c r="C1519" s="4">
        <v>1475</v>
      </c>
    </row>
    <row r="1520" spans="1:3" x14ac:dyDescent="0.25">
      <c r="A1520" s="3">
        <v>45943</v>
      </c>
      <c r="B1520" s="4">
        <v>1455</v>
      </c>
      <c r="C1520" s="4">
        <v>1475</v>
      </c>
    </row>
    <row r="1521" spans="1:3" x14ac:dyDescent="0.25">
      <c r="A1521" s="3">
        <v>45944</v>
      </c>
      <c r="B1521" s="4">
        <v>1400</v>
      </c>
      <c r="C1521" s="4">
        <v>1420</v>
      </c>
    </row>
    <row r="1522" spans="1:3" x14ac:dyDescent="0.25">
      <c r="A1522" s="3">
        <v>45945</v>
      </c>
      <c r="B1522" s="4">
        <v>1430</v>
      </c>
      <c r="C1522" s="4">
        <v>1450</v>
      </c>
    </row>
    <row r="1523" spans="1:3" x14ac:dyDescent="0.25">
      <c r="A1523" s="3">
        <v>45946</v>
      </c>
      <c r="B1523" s="4">
        <v>1445</v>
      </c>
      <c r="C1523" s="4">
        <v>1465</v>
      </c>
    </row>
    <row r="1524" spans="1:3" x14ac:dyDescent="0.25">
      <c r="A1524" s="3">
        <v>45947</v>
      </c>
      <c r="B1524" s="4">
        <v>1465</v>
      </c>
      <c r="C1524" s="4">
        <v>1485</v>
      </c>
    </row>
    <row r="1525" spans="1:3" x14ac:dyDescent="0.25">
      <c r="A1525" s="3">
        <v>45948</v>
      </c>
      <c r="B1525" s="4">
        <v>1465</v>
      </c>
      <c r="C1525" s="4">
        <v>1485</v>
      </c>
    </row>
    <row r="1526" spans="1:3" x14ac:dyDescent="0.25">
      <c r="A1526" s="3">
        <v>45949</v>
      </c>
      <c r="B1526" s="4">
        <v>1465</v>
      </c>
      <c r="C1526" s="4">
        <v>1485</v>
      </c>
    </row>
    <row r="1527" spans="1:3" x14ac:dyDescent="0.25">
      <c r="A1527" s="3">
        <v>45950</v>
      </c>
      <c r="B1527" s="4">
        <v>1485</v>
      </c>
      <c r="C1527" s="4">
        <v>1505</v>
      </c>
    </row>
    <row r="1528" spans="1:3" x14ac:dyDescent="0.25">
      <c r="A1528" s="3">
        <v>45951</v>
      </c>
      <c r="B1528" s="4">
        <v>1525</v>
      </c>
      <c r="C1528" s="4">
        <v>1545</v>
      </c>
    </row>
    <row r="1529" spans="1:3" x14ac:dyDescent="0.25">
      <c r="A1529" s="3">
        <v>45952</v>
      </c>
      <c r="B1529" s="4">
        <v>1530</v>
      </c>
      <c r="C1529" s="4">
        <v>1550</v>
      </c>
    </row>
    <row r="1530" spans="1:3" x14ac:dyDescent="0.25">
      <c r="A1530" s="3">
        <v>45953</v>
      </c>
      <c r="B1530" s="4">
        <v>1505</v>
      </c>
      <c r="C1530" s="4">
        <v>1525</v>
      </c>
    </row>
    <row r="1531" spans="1:3" x14ac:dyDescent="0.25">
      <c r="A1531" s="3">
        <v>45954</v>
      </c>
      <c r="B1531" s="4">
        <v>1490</v>
      </c>
      <c r="C1531" s="4">
        <v>1510</v>
      </c>
    </row>
    <row r="1532" spans="1:3" x14ac:dyDescent="0.25">
      <c r="A1532" s="3">
        <v>45955</v>
      </c>
      <c r="B1532" s="4">
        <v>1490</v>
      </c>
      <c r="C1532" s="4">
        <v>1510</v>
      </c>
    </row>
    <row r="1533" spans="1:3" x14ac:dyDescent="0.25">
      <c r="A1533" s="3">
        <v>45956</v>
      </c>
      <c r="B1533" s="4">
        <v>1490</v>
      </c>
      <c r="C1533" s="4">
        <v>1510</v>
      </c>
    </row>
    <row r="1534" spans="1:3" x14ac:dyDescent="0.25">
      <c r="A1534" s="3">
        <v>45957</v>
      </c>
      <c r="B1534" s="4">
        <v>1445</v>
      </c>
      <c r="C1534" s="4">
        <v>1465</v>
      </c>
    </row>
    <row r="1535" spans="1:3" x14ac:dyDescent="0.25">
      <c r="A1535" s="3">
        <v>45958</v>
      </c>
      <c r="B1535" s="4">
        <v>1450</v>
      </c>
      <c r="C1535" s="4">
        <v>1470</v>
      </c>
    </row>
    <row r="1536" spans="1:3" x14ac:dyDescent="0.25">
      <c r="A1536" s="3">
        <v>45959</v>
      </c>
      <c r="B1536" s="4">
        <v>1440</v>
      </c>
      <c r="C1536" s="4">
        <v>1460</v>
      </c>
    </row>
    <row r="1537" spans="1:3" x14ac:dyDescent="0.25">
      <c r="A1537" s="3">
        <v>45960</v>
      </c>
      <c r="B1537" s="4">
        <v>1430</v>
      </c>
      <c r="C1537" s="4">
        <v>1450</v>
      </c>
    </row>
    <row r="1538" spans="1:3" x14ac:dyDescent="0.25">
      <c r="A1538" s="3">
        <v>45961</v>
      </c>
      <c r="B1538" s="4">
        <v>1425</v>
      </c>
      <c r="C1538" s="4">
        <v>1445</v>
      </c>
    </row>
    <row r="1539" spans="1:3" x14ac:dyDescent="0.25">
      <c r="A1539" s="3">
        <v>45962</v>
      </c>
      <c r="B1539" s="4">
        <v>1425</v>
      </c>
      <c r="C1539" s="4">
        <v>1445</v>
      </c>
    </row>
    <row r="1540" spans="1:3" x14ac:dyDescent="0.25">
      <c r="A1540" s="3">
        <v>45963</v>
      </c>
      <c r="B1540" s="4">
        <v>1425</v>
      </c>
      <c r="C1540" s="4">
        <v>1445</v>
      </c>
    </row>
    <row r="1541" spans="1:3" x14ac:dyDescent="0.25">
      <c r="A1541" s="3">
        <v>45964</v>
      </c>
      <c r="B1541" s="4">
        <v>1425</v>
      </c>
      <c r="C1541" s="4">
        <v>1445</v>
      </c>
    </row>
    <row r="1542" spans="1:3" x14ac:dyDescent="0.25">
      <c r="A1542" s="3">
        <v>45965</v>
      </c>
      <c r="B1542" s="4">
        <v>1440</v>
      </c>
      <c r="C1542" s="4">
        <v>1460</v>
      </c>
    </row>
    <row r="1543" spans="1:3" x14ac:dyDescent="0.25">
      <c r="A1543" s="3">
        <v>45966</v>
      </c>
      <c r="B1543" s="4">
        <v>1420</v>
      </c>
      <c r="C1543" s="4">
        <v>1440</v>
      </c>
    </row>
    <row r="1544" spans="1:3" x14ac:dyDescent="0.25">
      <c r="A1544" s="3">
        <v>45967</v>
      </c>
      <c r="B1544" s="4">
        <v>1415</v>
      </c>
      <c r="C1544" s="4">
        <v>1435</v>
      </c>
    </row>
    <row r="1545" spans="1:3" x14ac:dyDescent="0.25">
      <c r="A1545" s="3">
        <v>45968</v>
      </c>
      <c r="B1545" s="4">
        <v>1395</v>
      </c>
      <c r="C1545" s="4">
        <v>1415</v>
      </c>
    </row>
    <row r="1546" spans="1:3" x14ac:dyDescent="0.25">
      <c r="A1546" s="3">
        <v>45969</v>
      </c>
      <c r="B1546" s="4">
        <v>1395</v>
      </c>
      <c r="C1546" s="4">
        <v>1415</v>
      </c>
    </row>
    <row r="1547" spans="1:3" x14ac:dyDescent="0.25">
      <c r="A1547" s="3">
        <v>45970</v>
      </c>
      <c r="B1547" s="4">
        <v>1395</v>
      </c>
      <c r="C1547" s="4">
        <v>1415</v>
      </c>
    </row>
    <row r="1548" spans="1:3" x14ac:dyDescent="0.25">
      <c r="A1548" s="3">
        <v>45971</v>
      </c>
      <c r="B1548" s="4">
        <v>1405</v>
      </c>
      <c r="C1548" s="4">
        <v>1425</v>
      </c>
    </row>
    <row r="1549" spans="1:3" x14ac:dyDescent="0.25">
      <c r="A1549" s="3">
        <v>45972</v>
      </c>
      <c r="B1549" s="4">
        <v>1420</v>
      </c>
      <c r="C1549" s="4">
        <v>1440</v>
      </c>
    </row>
    <row r="1550" spans="1:3" x14ac:dyDescent="0.25">
      <c r="A1550" s="3">
        <v>45973</v>
      </c>
      <c r="B1550" s="4">
        <v>1415</v>
      </c>
      <c r="C1550" s="4">
        <v>1435</v>
      </c>
    </row>
    <row r="1551" spans="1:3" x14ac:dyDescent="0.25">
      <c r="A1551" s="3">
        <v>45974</v>
      </c>
      <c r="B1551" s="4">
        <v>1415</v>
      </c>
      <c r="C1551" s="4">
        <v>1435</v>
      </c>
    </row>
    <row r="1552" spans="1:3" x14ac:dyDescent="0.25">
      <c r="A1552" s="3">
        <v>45975</v>
      </c>
      <c r="B1552" s="4">
        <v>1410</v>
      </c>
      <c r="C1552" s="4">
        <v>1430</v>
      </c>
    </row>
    <row r="1553" spans="1:3" x14ac:dyDescent="0.25">
      <c r="A1553" s="3">
        <v>45976</v>
      </c>
      <c r="B1553" s="4">
        <v>1410</v>
      </c>
      <c r="C1553" s="4">
        <v>1430</v>
      </c>
    </row>
    <row r="1554" spans="1:3" x14ac:dyDescent="0.25">
      <c r="A1554" s="3">
        <v>45977</v>
      </c>
      <c r="B1554" s="4">
        <v>1410</v>
      </c>
      <c r="C1554" s="4">
        <v>1430</v>
      </c>
    </row>
    <row r="1555" spans="1:3" x14ac:dyDescent="0.25">
      <c r="A1555" s="3">
        <v>45978</v>
      </c>
      <c r="B1555" s="4">
        <v>1415</v>
      </c>
      <c r="C1555" s="4">
        <v>1435</v>
      </c>
    </row>
    <row r="1556" spans="1:3" x14ac:dyDescent="0.25">
      <c r="A1556" s="3">
        <v>45979</v>
      </c>
      <c r="B1556" s="4">
        <v>1410</v>
      </c>
      <c r="C1556" s="4">
        <v>1430</v>
      </c>
    </row>
    <row r="1557" spans="1:3" x14ac:dyDescent="0.25">
      <c r="A1557" s="3">
        <v>45980</v>
      </c>
      <c r="B1557" s="4">
        <v>1410</v>
      </c>
      <c r="C1557" s="4">
        <v>1430</v>
      </c>
    </row>
    <row r="1558" spans="1:3" x14ac:dyDescent="0.25">
      <c r="A1558" s="3">
        <v>45981</v>
      </c>
      <c r="B1558" s="4">
        <v>1405</v>
      </c>
      <c r="C1558" s="4">
        <v>1425</v>
      </c>
    </row>
    <row r="1559" spans="1:3" x14ac:dyDescent="0.25">
      <c r="A1559" s="3">
        <v>45982</v>
      </c>
      <c r="B1559" s="4">
        <v>1405</v>
      </c>
      <c r="C1559" s="4">
        <v>1425</v>
      </c>
    </row>
    <row r="1560" spans="1:3" x14ac:dyDescent="0.25">
      <c r="A1560" s="3">
        <v>45983</v>
      </c>
      <c r="B1560" s="4">
        <v>1405</v>
      </c>
      <c r="C1560" s="4">
        <v>1425</v>
      </c>
    </row>
    <row r="1561" spans="1:3" x14ac:dyDescent="0.25">
      <c r="A1561" s="3">
        <v>45984</v>
      </c>
      <c r="B1561" s="4">
        <v>1405</v>
      </c>
      <c r="C1561" s="4">
        <v>1425</v>
      </c>
    </row>
    <row r="1562" spans="1:3" x14ac:dyDescent="0.25">
      <c r="A1562" s="3">
        <v>45985</v>
      </c>
      <c r="B1562" s="4">
        <v>1405</v>
      </c>
      <c r="C1562" s="4">
        <v>1425</v>
      </c>
    </row>
    <row r="1563" spans="1:3" x14ac:dyDescent="0.25">
      <c r="A1563" s="3">
        <v>45986</v>
      </c>
      <c r="B1563" s="4">
        <v>1440</v>
      </c>
      <c r="C1563" s="4">
        <v>1460</v>
      </c>
    </row>
    <row r="1564" spans="1:3" x14ac:dyDescent="0.25">
      <c r="A1564" s="3">
        <v>45987</v>
      </c>
      <c r="B1564" s="4">
        <v>1430</v>
      </c>
      <c r="C1564" s="4">
        <v>1450</v>
      </c>
    </row>
    <row r="1565" spans="1:3" x14ac:dyDescent="0.25">
      <c r="A1565" s="3">
        <v>45988</v>
      </c>
      <c r="B1565" s="4">
        <v>1420</v>
      </c>
      <c r="C1565" s="4">
        <v>1440</v>
      </c>
    </row>
    <row r="1566" spans="1:3" x14ac:dyDescent="0.25">
      <c r="A1566" s="3">
        <v>45989</v>
      </c>
      <c r="B1566" s="4">
        <v>1415</v>
      </c>
      <c r="C1566" s="4">
        <v>1435</v>
      </c>
    </row>
    <row r="1567" spans="1:3" x14ac:dyDescent="0.25">
      <c r="A1567" s="3">
        <v>45990</v>
      </c>
      <c r="B1567" s="4">
        <v>1415</v>
      </c>
      <c r="C1567" s="4">
        <v>1435</v>
      </c>
    </row>
    <row r="1568" spans="1:3" x14ac:dyDescent="0.25">
      <c r="A1568" s="3">
        <v>45991</v>
      </c>
      <c r="B1568" s="4">
        <v>1415</v>
      </c>
      <c r="C1568" s="4">
        <v>1435</v>
      </c>
    </row>
    <row r="1569" spans="1:3" x14ac:dyDescent="0.25">
      <c r="A1569" s="3">
        <v>45992</v>
      </c>
      <c r="B1569" s="4">
        <v>1425</v>
      </c>
      <c r="C1569" s="4">
        <v>1445</v>
      </c>
    </row>
    <row r="1570" spans="1:3" x14ac:dyDescent="0.25">
      <c r="A1570" s="3">
        <v>45993</v>
      </c>
      <c r="B1570" s="4">
        <v>1425</v>
      </c>
      <c r="C1570" s="4">
        <v>1445</v>
      </c>
    </row>
    <row r="1571" spans="1:3" x14ac:dyDescent="0.25">
      <c r="A1571" s="3">
        <v>45994</v>
      </c>
      <c r="B1571" s="4">
        <v>1420</v>
      </c>
      <c r="C1571" s="4">
        <v>1440</v>
      </c>
    </row>
    <row r="1572" spans="1:3" x14ac:dyDescent="0.25">
      <c r="A1572" s="3">
        <v>45995</v>
      </c>
      <c r="B1572" s="4">
        <v>1410</v>
      </c>
      <c r="C1572" s="4">
        <v>1430</v>
      </c>
    </row>
    <row r="1573" spans="1:3" x14ac:dyDescent="0.25">
      <c r="A1573" s="3">
        <v>45996</v>
      </c>
      <c r="B1573" s="4">
        <v>1405</v>
      </c>
      <c r="C1573" s="4">
        <v>1425</v>
      </c>
    </row>
    <row r="1574" spans="1:3" x14ac:dyDescent="0.25">
      <c r="A1574" s="3">
        <v>45997</v>
      </c>
      <c r="B1574" s="4">
        <v>1405</v>
      </c>
      <c r="C1574" s="4">
        <v>1425</v>
      </c>
    </row>
    <row r="1575" spans="1:3" x14ac:dyDescent="0.25">
      <c r="A1575" s="3">
        <v>45998</v>
      </c>
      <c r="B1575" s="4">
        <v>1405</v>
      </c>
      <c r="C1575" s="4">
        <v>1425</v>
      </c>
    </row>
    <row r="1576" spans="1:3" x14ac:dyDescent="0.25">
      <c r="A1576" s="3">
        <v>45999</v>
      </c>
      <c r="B1576" s="4">
        <v>1405</v>
      </c>
      <c r="C1576" s="4">
        <v>1425</v>
      </c>
    </row>
    <row r="1577" spans="1:3" x14ac:dyDescent="0.25">
      <c r="A1577" s="3">
        <v>46000</v>
      </c>
      <c r="B1577" s="4">
        <v>1425</v>
      </c>
      <c r="C1577" s="4">
        <v>1445</v>
      </c>
    </row>
    <row r="1578" spans="1:3" x14ac:dyDescent="0.25">
      <c r="A1578" s="3">
        <v>46001</v>
      </c>
      <c r="B1578" s="4">
        <v>1430</v>
      </c>
      <c r="C1578" s="4">
        <v>1450</v>
      </c>
    </row>
    <row r="1579" spans="1:3" x14ac:dyDescent="0.25">
      <c r="A1579" s="3">
        <v>46002</v>
      </c>
      <c r="B1579" s="4">
        <v>1430</v>
      </c>
      <c r="C1579" s="4">
        <v>1450</v>
      </c>
    </row>
    <row r="1580" spans="1:3" x14ac:dyDescent="0.25">
      <c r="A1580" s="3">
        <v>46003</v>
      </c>
      <c r="B1580" s="4">
        <v>1425</v>
      </c>
      <c r="C1580" s="4">
        <v>1445</v>
      </c>
    </row>
    <row r="1581" spans="1:3" x14ac:dyDescent="0.25">
      <c r="A1581" s="3">
        <v>46004</v>
      </c>
      <c r="B1581" s="4">
        <v>1425</v>
      </c>
      <c r="C1581" s="4">
        <v>1445</v>
      </c>
    </row>
    <row r="1582" spans="1:3" x14ac:dyDescent="0.25">
      <c r="A1582" s="3">
        <v>46005</v>
      </c>
      <c r="B1582" s="4">
        <v>1425</v>
      </c>
      <c r="C1582" s="4">
        <v>1445</v>
      </c>
    </row>
    <row r="1583" spans="1:3" x14ac:dyDescent="0.25">
      <c r="A1583" s="3">
        <v>46006</v>
      </c>
      <c r="B1583" s="4">
        <v>1460</v>
      </c>
      <c r="C1583" s="4">
        <v>1480</v>
      </c>
    </row>
    <row r="1584" spans="1:3" x14ac:dyDescent="0.25">
      <c r="A1584" s="3">
        <v>46007</v>
      </c>
      <c r="B1584" s="4">
        <v>1480</v>
      </c>
      <c r="C1584" s="4">
        <v>1500</v>
      </c>
    </row>
    <row r="1585" spans="1:3" x14ac:dyDescent="0.25">
      <c r="A1585" s="3">
        <v>46008</v>
      </c>
      <c r="B1585" s="4">
        <v>1480</v>
      </c>
      <c r="C1585" s="4">
        <v>1500</v>
      </c>
    </row>
    <row r="1586" spans="1:3" x14ac:dyDescent="0.25">
      <c r="A1586" s="3">
        <v>46009</v>
      </c>
      <c r="B1586" s="4">
        <v>1470</v>
      </c>
      <c r="C1586" s="4">
        <v>1490</v>
      </c>
    </row>
    <row r="1587" spans="1:3" x14ac:dyDescent="0.25">
      <c r="A1587" s="3">
        <v>46010</v>
      </c>
      <c r="B1587" s="4">
        <v>1465</v>
      </c>
      <c r="C1587" s="4">
        <v>1485</v>
      </c>
    </row>
    <row r="1588" spans="1:3" x14ac:dyDescent="0.25">
      <c r="A1588" s="3">
        <v>46011</v>
      </c>
      <c r="B1588" s="4">
        <v>1465</v>
      </c>
      <c r="C1588" s="4">
        <v>1485</v>
      </c>
    </row>
    <row r="1589" spans="1:3" x14ac:dyDescent="0.25">
      <c r="A1589" s="3">
        <v>46012</v>
      </c>
      <c r="B1589" s="4">
        <v>1465</v>
      </c>
      <c r="C1589" s="4">
        <v>1485</v>
      </c>
    </row>
    <row r="1590" spans="1:3" x14ac:dyDescent="0.25">
      <c r="A1590" s="3">
        <v>46013</v>
      </c>
      <c r="B1590" s="4">
        <v>1495</v>
      </c>
      <c r="C1590" s="4">
        <v>1505</v>
      </c>
    </row>
    <row r="1591" spans="1:3" x14ac:dyDescent="0.25">
      <c r="A1591" s="3">
        <v>46014</v>
      </c>
      <c r="B1591" s="4">
        <v>1485</v>
      </c>
      <c r="C1591" s="4">
        <v>1505</v>
      </c>
    </row>
    <row r="1592" spans="1:3" x14ac:dyDescent="0.25">
      <c r="A1592" s="3">
        <v>46015</v>
      </c>
      <c r="B1592" s="4">
        <v>1485</v>
      </c>
      <c r="C1592" s="4">
        <v>1505</v>
      </c>
    </row>
    <row r="1593" spans="1:3" x14ac:dyDescent="0.25">
      <c r="A1593" s="3">
        <v>46016</v>
      </c>
      <c r="B1593" s="4">
        <v>1485</v>
      </c>
      <c r="C1593" s="4">
        <v>1505</v>
      </c>
    </row>
    <row r="1594" spans="1:3" x14ac:dyDescent="0.25">
      <c r="A1594" s="3">
        <v>46017</v>
      </c>
      <c r="B1594" s="4">
        <v>1510</v>
      </c>
      <c r="C1594" s="4">
        <v>1530</v>
      </c>
    </row>
    <row r="1595" spans="1:3" x14ac:dyDescent="0.25">
      <c r="A1595" s="3">
        <v>46018</v>
      </c>
      <c r="B1595" s="4">
        <v>1510</v>
      </c>
      <c r="C1595" s="4">
        <v>1530</v>
      </c>
    </row>
    <row r="1596" spans="1:3" x14ac:dyDescent="0.25">
      <c r="A1596" s="3">
        <v>46019</v>
      </c>
      <c r="B1596" s="4">
        <v>1510</v>
      </c>
      <c r="C1596" s="4">
        <v>1530</v>
      </c>
    </row>
    <row r="1597" spans="1:3" x14ac:dyDescent="0.25">
      <c r="A1597" s="3">
        <v>46020</v>
      </c>
      <c r="B1597" s="4">
        <v>1520</v>
      </c>
      <c r="C1597" s="4">
        <v>1540</v>
      </c>
    </row>
    <row r="1598" spans="1:3" x14ac:dyDescent="0.25">
      <c r="A1598" s="3">
        <v>46021</v>
      </c>
      <c r="B1598" s="4">
        <v>1520</v>
      </c>
      <c r="C1598" s="4">
        <v>1540</v>
      </c>
    </row>
    <row r="1599" spans="1:3" x14ac:dyDescent="0.25">
      <c r="A1599" s="3">
        <v>46022</v>
      </c>
      <c r="B1599" s="4">
        <v>1510</v>
      </c>
      <c r="C1599" s="4">
        <v>1530</v>
      </c>
    </row>
    <row r="1600" spans="1:3" x14ac:dyDescent="0.25">
      <c r="A1600" s="3">
        <v>46023</v>
      </c>
      <c r="B1600" s="4">
        <v>1510</v>
      </c>
      <c r="C1600" s="4">
        <v>1530</v>
      </c>
    </row>
    <row r="1601" spans="1:3" x14ac:dyDescent="0.25">
      <c r="A1601" s="3">
        <v>46024</v>
      </c>
      <c r="B1601" s="4">
        <v>1510</v>
      </c>
      <c r="C1601" s="4">
        <v>1530</v>
      </c>
    </row>
    <row r="1602" spans="1:3" x14ac:dyDescent="0.25">
      <c r="A1602" s="3">
        <v>46025</v>
      </c>
      <c r="B1602" s="4">
        <v>1510</v>
      </c>
      <c r="C1602" s="4">
        <v>1530</v>
      </c>
    </row>
    <row r="1603" spans="1:3" x14ac:dyDescent="0.25">
      <c r="A1603" s="3">
        <v>46026</v>
      </c>
      <c r="B1603" s="4">
        <v>1510</v>
      </c>
      <c r="C1603" s="4">
        <v>1530</v>
      </c>
    </row>
    <row r="1604" spans="1:3" x14ac:dyDescent="0.25">
      <c r="A1604" s="3">
        <v>46027</v>
      </c>
      <c r="B1604" s="4">
        <v>1495</v>
      </c>
      <c r="C1604" s="4">
        <v>1515</v>
      </c>
    </row>
    <row r="1605" spans="1:3" x14ac:dyDescent="0.25">
      <c r="A1605" s="3">
        <v>46028</v>
      </c>
      <c r="B1605" s="4">
        <v>1500</v>
      </c>
      <c r="C1605" s="4">
        <v>1520</v>
      </c>
    </row>
    <row r="1606" spans="1:3" x14ac:dyDescent="0.25">
      <c r="A1606" s="3">
        <v>46029</v>
      </c>
      <c r="B1606" s="4">
        <v>1495</v>
      </c>
      <c r="C1606" s="4">
        <v>1515</v>
      </c>
    </row>
    <row r="1607" spans="1:3" x14ac:dyDescent="0.25">
      <c r="A1607" s="3">
        <v>46030</v>
      </c>
      <c r="B1607" s="4">
        <v>1485</v>
      </c>
      <c r="C1607" s="4">
        <v>1505</v>
      </c>
    </row>
    <row r="1608" spans="1:3" x14ac:dyDescent="0.25">
      <c r="A1608" s="3">
        <v>46031</v>
      </c>
      <c r="B1608" s="4">
        <v>1485</v>
      </c>
      <c r="C1608" s="4">
        <v>1505</v>
      </c>
    </row>
    <row r="1609" spans="1:3" x14ac:dyDescent="0.25">
      <c r="A1609" s="3">
        <v>46032</v>
      </c>
      <c r="B1609" s="4">
        <v>1485</v>
      </c>
      <c r="C1609" s="4">
        <v>1505</v>
      </c>
    </row>
    <row r="1610" spans="1:3" x14ac:dyDescent="0.25">
      <c r="A1610" s="3">
        <v>46033</v>
      </c>
      <c r="B1610" s="4">
        <v>1485</v>
      </c>
      <c r="C1610" s="4">
        <v>1505</v>
      </c>
    </row>
    <row r="1611" spans="1:3" x14ac:dyDescent="0.25">
      <c r="A1611" s="3">
        <v>46034</v>
      </c>
      <c r="B1611" s="4">
        <v>1485</v>
      </c>
      <c r="C1611" s="4">
        <v>1505</v>
      </c>
    </row>
    <row r="1612" spans="1:3" x14ac:dyDescent="0.25">
      <c r="A1612" s="3">
        <v>46035</v>
      </c>
      <c r="B1612" s="4">
        <v>1485</v>
      </c>
      <c r="C1612" s="4">
        <v>1505</v>
      </c>
    </row>
    <row r="1613" spans="1:3" x14ac:dyDescent="0.25">
      <c r="A1613" s="3">
        <v>46036</v>
      </c>
      <c r="B1613" s="4">
        <v>1495</v>
      </c>
      <c r="C1613" s="4">
        <v>1515</v>
      </c>
    </row>
    <row r="1614" spans="1:3" x14ac:dyDescent="0.25">
      <c r="A1614" s="3">
        <v>46037</v>
      </c>
      <c r="B1614" s="4">
        <v>1485</v>
      </c>
      <c r="C1614" s="4">
        <v>1505</v>
      </c>
    </row>
    <row r="1615" spans="1:3" x14ac:dyDescent="0.25">
      <c r="A1615" s="3">
        <v>46038</v>
      </c>
      <c r="B1615" s="4">
        <v>1485</v>
      </c>
      <c r="C1615" s="4">
        <v>1505</v>
      </c>
    </row>
    <row r="1616" spans="1:3" x14ac:dyDescent="0.25">
      <c r="A1616" s="3">
        <v>46039</v>
      </c>
      <c r="B1616" s="4">
        <v>1485</v>
      </c>
      <c r="C1616" s="4">
        <v>1505</v>
      </c>
    </row>
    <row r="1617" spans="1:3" x14ac:dyDescent="0.25">
      <c r="A1617" s="3">
        <v>46040</v>
      </c>
      <c r="B1617" s="4">
        <v>1485</v>
      </c>
      <c r="C1617" s="4">
        <v>1505</v>
      </c>
    </row>
    <row r="1618" spans="1:3" x14ac:dyDescent="0.25">
      <c r="A1618" s="3">
        <v>46041</v>
      </c>
      <c r="B1618" s="4">
        <v>1485</v>
      </c>
      <c r="C1618" s="4">
        <v>1505</v>
      </c>
    </row>
    <row r="1619" spans="1:3" x14ac:dyDescent="0.25">
      <c r="A1619" s="3">
        <v>46042</v>
      </c>
      <c r="B1619" s="4">
        <v>1485</v>
      </c>
      <c r="C1619" s="4">
        <v>1505</v>
      </c>
    </row>
    <row r="1620" spans="1:3" x14ac:dyDescent="0.25">
      <c r="A1620" s="3">
        <v>46043</v>
      </c>
      <c r="B1620" s="4">
        <v>1480</v>
      </c>
      <c r="C1620" s="4">
        <v>1500</v>
      </c>
    </row>
    <row r="1621" spans="1:3" x14ac:dyDescent="0.25">
      <c r="A1621" s="3">
        <v>46044</v>
      </c>
      <c r="B1621" s="4">
        <v>1475</v>
      </c>
      <c r="C1621" s="4">
        <v>1495</v>
      </c>
    </row>
    <row r="1622" spans="1:3" x14ac:dyDescent="0.25">
      <c r="A1622" s="3">
        <v>46045</v>
      </c>
      <c r="B1622" s="4">
        <v>1465</v>
      </c>
      <c r="C1622" s="4">
        <v>1485</v>
      </c>
    </row>
    <row r="1623" spans="1:3" x14ac:dyDescent="0.25">
      <c r="A1623" s="3">
        <v>46046</v>
      </c>
      <c r="B1623" s="4">
        <v>1465</v>
      </c>
      <c r="C1623" s="4">
        <v>1485</v>
      </c>
    </row>
    <row r="1624" spans="1:3" x14ac:dyDescent="0.25">
      <c r="A1624" s="3">
        <v>46047</v>
      </c>
      <c r="B1624" s="4">
        <v>1465</v>
      </c>
      <c r="C1624" s="4">
        <v>1485</v>
      </c>
    </row>
    <row r="1625" spans="1:3" x14ac:dyDescent="0.25">
      <c r="A1625" s="3">
        <v>46048</v>
      </c>
      <c r="B1625" s="4">
        <v>1470</v>
      </c>
      <c r="C1625" s="4">
        <v>1490</v>
      </c>
    </row>
    <row r="1626" spans="1:3" x14ac:dyDescent="0.25">
      <c r="A1626" s="3">
        <v>46049</v>
      </c>
      <c r="B1626" s="4">
        <v>1470</v>
      </c>
      <c r="C1626" s="4">
        <v>1490</v>
      </c>
    </row>
    <row r="1627" spans="1:3" x14ac:dyDescent="0.25">
      <c r="A1627" s="3">
        <v>46050</v>
      </c>
      <c r="B1627" s="4">
        <v>1465</v>
      </c>
      <c r="C1627" s="4">
        <v>1485</v>
      </c>
    </row>
    <row r="1628" spans="1:3" x14ac:dyDescent="0.25">
      <c r="A1628" s="3">
        <v>46051</v>
      </c>
      <c r="B1628" s="4">
        <v>1455</v>
      </c>
      <c r="C1628" s="4">
        <v>1475</v>
      </c>
    </row>
    <row r="1629" spans="1:3" x14ac:dyDescent="0.25">
      <c r="A1629" s="3">
        <v>46052</v>
      </c>
      <c r="B1629" s="4">
        <v>1450</v>
      </c>
      <c r="C1629" s="4">
        <v>1470</v>
      </c>
    </row>
    <row r="1630" spans="1:3" x14ac:dyDescent="0.25">
      <c r="A1630" s="3">
        <v>46053</v>
      </c>
      <c r="B1630" s="4">
        <v>1450</v>
      </c>
      <c r="C1630" s="4">
        <v>1470</v>
      </c>
    </row>
    <row r="1631" spans="1:3" x14ac:dyDescent="0.25">
      <c r="A1631" s="3">
        <v>46054</v>
      </c>
      <c r="B1631" s="4">
        <v>1450</v>
      </c>
      <c r="C1631" s="4">
        <v>1470</v>
      </c>
    </row>
    <row r="1632" spans="1:3" x14ac:dyDescent="0.25">
      <c r="A1632" s="3">
        <v>46055</v>
      </c>
      <c r="B1632" s="4">
        <v>1430</v>
      </c>
      <c r="C1632" s="4">
        <v>1450</v>
      </c>
    </row>
    <row r="1633" spans="1:3" x14ac:dyDescent="0.25">
      <c r="A1633" s="3">
        <v>46056</v>
      </c>
      <c r="B1633" s="4">
        <v>1430</v>
      </c>
      <c r="C1633" s="4">
        <v>1450</v>
      </c>
    </row>
    <row r="1634" spans="1:3" x14ac:dyDescent="0.25">
      <c r="A1634" s="3">
        <v>46057</v>
      </c>
      <c r="B1634" s="4">
        <v>1435</v>
      </c>
      <c r="C1634" s="4">
        <v>1455</v>
      </c>
    </row>
    <row r="1635" spans="1:3" x14ac:dyDescent="0.25">
      <c r="A1635" s="3">
        <v>46058</v>
      </c>
      <c r="B1635" s="4">
        <v>1420</v>
      </c>
      <c r="C1635" s="4">
        <v>1440</v>
      </c>
    </row>
    <row r="1636" spans="1:3" x14ac:dyDescent="0.25">
      <c r="A1636" s="3">
        <v>46059</v>
      </c>
      <c r="B1636" s="4">
        <v>1415</v>
      </c>
      <c r="C1636" s="4">
        <v>1435</v>
      </c>
    </row>
    <row r="1637" spans="1:3" x14ac:dyDescent="0.25">
      <c r="A1637" s="3">
        <v>46060</v>
      </c>
      <c r="B1637" s="4">
        <v>1415</v>
      </c>
      <c r="C1637" s="4">
        <v>1435</v>
      </c>
    </row>
    <row r="1638" spans="1:3" x14ac:dyDescent="0.25">
      <c r="A1638" s="3">
        <v>46061</v>
      </c>
      <c r="B1638" s="4">
        <v>1415</v>
      </c>
      <c r="C1638" s="4">
        <v>1435</v>
      </c>
    </row>
    <row r="1639" spans="1:3" x14ac:dyDescent="0.25">
      <c r="A1639" s="3">
        <v>46062</v>
      </c>
      <c r="B1639" s="4">
        <v>1410</v>
      </c>
      <c r="C1639" s="4">
        <v>1430</v>
      </c>
    </row>
    <row r="1640" spans="1:3" x14ac:dyDescent="0.25">
      <c r="A1640" s="3">
        <v>46063</v>
      </c>
      <c r="B1640" s="4">
        <v>1405</v>
      </c>
      <c r="C1640" s="4">
        <v>1425</v>
      </c>
    </row>
    <row r="1641" spans="1:3" x14ac:dyDescent="0.25">
      <c r="A1641" s="3">
        <v>46064</v>
      </c>
      <c r="B1641" s="4">
        <v>1415</v>
      </c>
      <c r="C1641" s="4">
        <v>1435</v>
      </c>
    </row>
    <row r="1642" spans="1:3" x14ac:dyDescent="0.25">
      <c r="A1642" s="3">
        <v>46065</v>
      </c>
      <c r="B1642" s="4">
        <v>1415</v>
      </c>
      <c r="C1642" s="4">
        <v>1435</v>
      </c>
    </row>
    <row r="1643" spans="1:3" x14ac:dyDescent="0.25">
      <c r="A1643" s="3">
        <v>46066</v>
      </c>
      <c r="B1643" s="4">
        <v>1420</v>
      </c>
      <c r="C1643" s="4">
        <v>1440</v>
      </c>
    </row>
    <row r="1644" spans="1:3" x14ac:dyDescent="0.25">
      <c r="A1644" s="3">
        <v>46067</v>
      </c>
      <c r="B1644" s="4">
        <v>1420</v>
      </c>
      <c r="C1644" s="4">
        <v>1440</v>
      </c>
    </row>
    <row r="1645" spans="1:3" x14ac:dyDescent="0.25">
      <c r="A1645" s="3">
        <v>46068</v>
      </c>
      <c r="B1645" s="4">
        <v>1420</v>
      </c>
      <c r="C1645" s="4">
        <v>1440</v>
      </c>
    </row>
    <row r="1646" spans="1:3" x14ac:dyDescent="0.25">
      <c r="A1646" s="3">
        <v>46069</v>
      </c>
      <c r="B1646" s="4">
        <v>1420</v>
      </c>
      <c r="C1646" s="4">
        <v>1440</v>
      </c>
    </row>
    <row r="1647" spans="1:3" x14ac:dyDescent="0.25">
      <c r="A1647" s="3">
        <v>46070</v>
      </c>
      <c r="B1647" s="4">
        <v>1420</v>
      </c>
      <c r="C1647" s="4">
        <v>1440</v>
      </c>
    </row>
    <row r="1648" spans="1:3" x14ac:dyDescent="0.25">
      <c r="A1648" s="3">
        <v>46071</v>
      </c>
      <c r="B1648" s="4">
        <v>1415</v>
      </c>
      <c r="C1648" s="4">
        <v>1435</v>
      </c>
    </row>
    <row r="1649" spans="1:3" x14ac:dyDescent="0.25">
      <c r="A1649" s="3">
        <v>46072</v>
      </c>
      <c r="B1649" s="4">
        <v>1420</v>
      </c>
      <c r="C1649" s="4">
        <v>1440</v>
      </c>
    </row>
    <row r="1650" spans="1:3" x14ac:dyDescent="0.25">
      <c r="A1650" s="3">
        <v>46073</v>
      </c>
      <c r="B1650" s="4">
        <v>1410</v>
      </c>
      <c r="C1650" s="4">
        <v>1430</v>
      </c>
    </row>
    <row r="1651" spans="1:3" x14ac:dyDescent="0.25">
      <c r="A1651" s="3">
        <v>46074</v>
      </c>
      <c r="B1651" s="4">
        <v>1410</v>
      </c>
      <c r="C1651" s="4">
        <v>1430</v>
      </c>
    </row>
    <row r="1652" spans="1:3" x14ac:dyDescent="0.25">
      <c r="A1652" s="3">
        <v>46075</v>
      </c>
      <c r="B1652" s="4">
        <v>1410</v>
      </c>
      <c r="C1652" s="4">
        <v>1430</v>
      </c>
    </row>
    <row r="1653" spans="1:3" x14ac:dyDescent="0.25">
      <c r="A1653" s="3">
        <v>46076</v>
      </c>
      <c r="B1653" s="4">
        <v>1405</v>
      </c>
      <c r="C1653" s="4">
        <v>1425</v>
      </c>
    </row>
    <row r="1654" spans="1:3" x14ac:dyDescent="0.25">
      <c r="A1654" s="3">
        <v>46077</v>
      </c>
      <c r="B1654" s="4">
        <v>1410</v>
      </c>
      <c r="C1654" s="4">
        <v>1430</v>
      </c>
    </row>
    <row r="1655" spans="1:3" x14ac:dyDescent="0.25">
      <c r="A1655" s="3">
        <v>46078</v>
      </c>
      <c r="B1655" s="4">
        <v>1425</v>
      </c>
      <c r="C1655" s="4">
        <v>1445</v>
      </c>
    </row>
    <row r="1656" spans="1:3" x14ac:dyDescent="0.25">
      <c r="A1656" s="3">
        <v>46079</v>
      </c>
      <c r="B1656" s="4">
        <v>1415</v>
      </c>
      <c r="C1656" s="4">
        <v>1435</v>
      </c>
    </row>
    <row r="1657" spans="1:3" x14ac:dyDescent="0.25">
      <c r="A1657" s="3">
        <v>46080</v>
      </c>
      <c r="B1657" s="4">
        <v>1405</v>
      </c>
      <c r="C1657" s="4">
        <v>1425</v>
      </c>
    </row>
    <row r="1658" spans="1:3" x14ac:dyDescent="0.25">
      <c r="A1658" s="3">
        <v>46081</v>
      </c>
      <c r="B1658" s="4">
        <v>1405</v>
      </c>
      <c r="C1658" s="4">
        <v>1425</v>
      </c>
    </row>
    <row r="1659" spans="1:3" x14ac:dyDescent="0.25">
      <c r="A1659" s="3">
        <v>46082</v>
      </c>
      <c r="B1659" s="4">
        <v>1405</v>
      </c>
      <c r="C1659" s="4">
        <v>1425</v>
      </c>
    </row>
    <row r="1660" spans="1:3" x14ac:dyDescent="0.25">
      <c r="A1660" s="3">
        <v>46083</v>
      </c>
      <c r="B1660" s="4">
        <v>1400</v>
      </c>
      <c r="C1660" s="4">
        <v>1420</v>
      </c>
    </row>
    <row r="1661" spans="1:3" x14ac:dyDescent="0.25">
      <c r="A1661" s="3">
        <v>46084</v>
      </c>
      <c r="B1661" s="4">
        <v>1405</v>
      </c>
      <c r="C1661" s="4">
        <v>1425</v>
      </c>
    </row>
    <row r="1662" spans="1:3" x14ac:dyDescent="0.25">
      <c r="A1662" s="3">
        <v>46085</v>
      </c>
      <c r="B1662" s="4">
        <v>1395</v>
      </c>
      <c r="C1662" s="4">
        <v>1415</v>
      </c>
    </row>
    <row r="1663" spans="1:3" x14ac:dyDescent="0.25">
      <c r="A1663" s="3">
        <v>46086</v>
      </c>
      <c r="B1663" s="4">
        <v>1380</v>
      </c>
      <c r="C1663" s="4">
        <v>1400</v>
      </c>
    </row>
    <row r="1664" spans="1:3" x14ac:dyDescent="0.25">
      <c r="A1664" s="3">
        <v>46087</v>
      </c>
      <c r="B1664" s="4">
        <v>1395</v>
      </c>
      <c r="C1664" s="4">
        <v>1415</v>
      </c>
    </row>
    <row r="1665" spans="1:3" x14ac:dyDescent="0.25">
      <c r="A1665" s="3">
        <v>46088</v>
      </c>
      <c r="B1665" s="4">
        <v>1395</v>
      </c>
      <c r="C1665" s="4">
        <v>1415</v>
      </c>
    </row>
    <row r="1666" spans="1:3" x14ac:dyDescent="0.25">
      <c r="A1666" s="3">
        <v>46089</v>
      </c>
      <c r="B1666" s="4">
        <v>1395</v>
      </c>
      <c r="C1666" s="4">
        <v>1415</v>
      </c>
    </row>
    <row r="1667" spans="1:3" x14ac:dyDescent="0.25">
      <c r="A1667" s="3">
        <v>46090</v>
      </c>
      <c r="B1667" s="4">
        <v>1405</v>
      </c>
      <c r="C1667" s="4">
        <v>1425</v>
      </c>
    </row>
    <row r="1668" spans="1:3" x14ac:dyDescent="0.25">
      <c r="A1668" s="3">
        <v>46091</v>
      </c>
      <c r="B1668" s="4">
        <v>1405</v>
      </c>
      <c r="C1668" s="4">
        <v>1425</v>
      </c>
    </row>
    <row r="1669" spans="1:3" x14ac:dyDescent="0.25">
      <c r="A1669" s="3">
        <v>46092</v>
      </c>
      <c r="B1669" s="4">
        <v>1395</v>
      </c>
      <c r="C1669" s="4">
        <v>1415</v>
      </c>
    </row>
    <row r="1670" spans="1:3" x14ac:dyDescent="0.25">
      <c r="A1670" s="3">
        <v>46093</v>
      </c>
      <c r="B1670" s="4">
        <v>1400</v>
      </c>
      <c r="C1670" s="4">
        <v>1420</v>
      </c>
    </row>
    <row r="1671" spans="1:3" x14ac:dyDescent="0.25">
      <c r="A1671" s="3">
        <v>46094</v>
      </c>
      <c r="B1671" s="4">
        <v>1395</v>
      </c>
      <c r="C1671" s="4">
        <v>1415</v>
      </c>
    </row>
    <row r="1672" spans="1:3" x14ac:dyDescent="0.25">
      <c r="A1672" s="3">
        <v>46095</v>
      </c>
      <c r="B1672" s="4">
        <v>1395</v>
      </c>
      <c r="C1672" s="4">
        <v>1415</v>
      </c>
    </row>
    <row r="1673" spans="1:3" x14ac:dyDescent="0.25">
      <c r="A1673" s="3">
        <v>46096</v>
      </c>
      <c r="B1673" s="4">
        <v>1395</v>
      </c>
      <c r="C1673" s="4">
        <v>1415</v>
      </c>
    </row>
    <row r="1674" spans="1:3" x14ac:dyDescent="0.25">
      <c r="A1674" s="3">
        <v>46097</v>
      </c>
      <c r="B1674" s="4">
        <v>1405</v>
      </c>
      <c r="C1674" s="4">
        <v>1425</v>
      </c>
    </row>
    <row r="1675" spans="1:3" x14ac:dyDescent="0.25">
      <c r="A1675" s="3">
        <v>46098</v>
      </c>
      <c r="B1675" s="4">
        <v>1415</v>
      </c>
      <c r="C1675" s="4">
        <v>1435</v>
      </c>
    </row>
    <row r="1676" spans="1:3" x14ac:dyDescent="0.25">
      <c r="A1676" s="3">
        <v>46099</v>
      </c>
      <c r="B1676" s="4">
        <v>1415</v>
      </c>
      <c r="C1676" s="4">
        <v>1435</v>
      </c>
    </row>
    <row r="1677" spans="1:3" x14ac:dyDescent="0.25">
      <c r="A1677" s="3">
        <v>46100</v>
      </c>
      <c r="B1677" s="4">
        <v>1410</v>
      </c>
      <c r="C1677" s="4">
        <v>1430</v>
      </c>
    </row>
    <row r="1678" spans="1:3" x14ac:dyDescent="0.25">
      <c r="A1678" s="3">
        <v>46101</v>
      </c>
      <c r="B1678" s="4">
        <v>1405</v>
      </c>
      <c r="C1678" s="4">
        <v>1425</v>
      </c>
    </row>
    <row r="1679" spans="1:3" x14ac:dyDescent="0.25">
      <c r="A1679" s="3">
        <v>46102</v>
      </c>
      <c r="B1679" s="4">
        <v>1405</v>
      </c>
      <c r="C1679" s="4">
        <v>1425</v>
      </c>
    </row>
    <row r="1680" spans="1:3" x14ac:dyDescent="0.25">
      <c r="A1680" s="3">
        <v>46103</v>
      </c>
      <c r="B1680" s="4">
        <v>1405</v>
      </c>
      <c r="C1680" s="4">
        <v>1425</v>
      </c>
    </row>
    <row r="1681" spans="1:3" x14ac:dyDescent="0.25">
      <c r="A1681" s="3">
        <v>46104</v>
      </c>
      <c r="B1681" s="4">
        <v>1405</v>
      </c>
      <c r="C1681" s="4">
        <v>1425</v>
      </c>
    </row>
    <row r="1682" spans="1:3" x14ac:dyDescent="0.25">
      <c r="A1682" s="3">
        <v>46105</v>
      </c>
      <c r="B1682" s="4">
        <v>1405</v>
      </c>
      <c r="C1682" s="4">
        <v>1425</v>
      </c>
    </row>
    <row r="1683" spans="1:3" x14ac:dyDescent="0.25">
      <c r="A1683" s="3">
        <v>46106</v>
      </c>
      <c r="B1683" s="4">
        <v>1400</v>
      </c>
      <c r="C1683" s="4">
        <v>1420</v>
      </c>
    </row>
    <row r="1684" spans="1:3" x14ac:dyDescent="0.25">
      <c r="A1684" s="3">
        <v>46107</v>
      </c>
      <c r="B1684" s="4">
        <v>1405</v>
      </c>
      <c r="C1684" s="4">
        <v>1425</v>
      </c>
    </row>
    <row r="1685" spans="1:3" x14ac:dyDescent="0.25">
      <c r="A1685" s="3">
        <v>46108</v>
      </c>
      <c r="B1685" s="4">
        <v>1395</v>
      </c>
      <c r="C1685" s="4">
        <v>1415</v>
      </c>
    </row>
    <row r="1686" spans="1:3" x14ac:dyDescent="0.25">
      <c r="A1686" s="3">
        <v>46109</v>
      </c>
      <c r="B1686" s="4">
        <v>1395</v>
      </c>
      <c r="C1686" s="4">
        <v>1415</v>
      </c>
    </row>
    <row r="1687" spans="1:3" x14ac:dyDescent="0.25">
      <c r="A1687" s="3">
        <v>46110</v>
      </c>
      <c r="B1687" s="4">
        <v>1395</v>
      </c>
      <c r="C1687" s="4">
        <v>1415</v>
      </c>
    </row>
    <row r="1688" spans="1:3" x14ac:dyDescent="0.25">
      <c r="A1688" s="3">
        <v>46111</v>
      </c>
      <c r="B1688" s="4">
        <v>1405</v>
      </c>
      <c r="C1688" s="4">
        <v>1425</v>
      </c>
    </row>
    <row r="1689" spans="1:3" x14ac:dyDescent="0.25">
      <c r="A1689" s="3">
        <v>46112</v>
      </c>
      <c r="B1689" s="4">
        <v>1390</v>
      </c>
      <c r="C1689" s="4">
        <v>1410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zoomScale="80" zoomScaleNormal="80" workbookViewId="0">
      <selection activeCell="F27" sqref="F27"/>
    </sheetView>
  </sheetViews>
  <sheetFormatPr baseColWidth="10" defaultRowHeight="15" x14ac:dyDescent="0.25"/>
  <cols>
    <col min="1" max="1" width="17.28515625" bestFit="1" customWidth="1"/>
    <col min="2" max="2" width="17.42578125" bestFit="1" customWidth="1"/>
    <col min="3" max="3" width="17" bestFit="1" customWidth="1"/>
    <col min="4" max="4" width="24.28515625" bestFit="1" customWidth="1"/>
    <col min="5" max="5" width="10.85546875" bestFit="1" customWidth="1"/>
    <col min="6" max="6" width="39" bestFit="1" customWidth="1"/>
  </cols>
  <sheetData>
    <row r="1" spans="1:6" x14ac:dyDescent="0.25">
      <c r="A1" t="s">
        <v>1390</v>
      </c>
      <c r="B1" t="s">
        <v>1391</v>
      </c>
      <c r="C1" t="s">
        <v>1392</v>
      </c>
      <c r="D1" t="s">
        <v>1393</v>
      </c>
      <c r="E1" t="s">
        <v>1394</v>
      </c>
      <c r="F1" t="s">
        <v>1395</v>
      </c>
    </row>
    <row r="2" spans="1:6" x14ac:dyDescent="0.25">
      <c r="A2" s="5" t="s">
        <v>524</v>
      </c>
      <c r="B2" s="6">
        <v>44197</v>
      </c>
      <c r="C2" s="6">
        <v>45900</v>
      </c>
      <c r="D2" t="s">
        <v>30</v>
      </c>
      <c r="E2" t="s">
        <v>17</v>
      </c>
      <c r="F2" t="s">
        <v>1396</v>
      </c>
    </row>
    <row r="3" spans="1:6" x14ac:dyDescent="0.25">
      <c r="A3" s="5" t="s">
        <v>524</v>
      </c>
      <c r="B3" s="6">
        <v>45901</v>
      </c>
      <c r="C3" s="6">
        <v>402133</v>
      </c>
      <c r="D3" t="s">
        <v>178</v>
      </c>
      <c r="E3" t="s">
        <v>17</v>
      </c>
      <c r="F3" t="s">
        <v>1397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baseColWidth="10" defaultColWidth="9.140625" defaultRowHeight="15" x14ac:dyDescent="0.25"/>
  <cols>
    <col min="1" max="1" width="28" customWidth="1"/>
    <col min="2" max="2" width="14" customWidth="1"/>
  </cols>
  <sheetData>
    <row r="1" spans="1:2" x14ac:dyDescent="0.25">
      <c r="A1" s="29" t="s">
        <v>1398</v>
      </c>
      <c r="B1" s="29" t="s">
        <v>1</v>
      </c>
    </row>
    <row r="2" spans="1:2" x14ac:dyDescent="0.25">
      <c r="A2" t="s">
        <v>270</v>
      </c>
      <c r="B2" t="s">
        <v>665</v>
      </c>
    </row>
    <row r="3" spans="1:2" x14ac:dyDescent="0.25">
      <c r="A3" t="s">
        <v>1399</v>
      </c>
      <c r="B3" t="s">
        <v>1018</v>
      </c>
    </row>
    <row r="4" spans="1:2" x14ac:dyDescent="0.25">
      <c r="A4" t="s">
        <v>1400</v>
      </c>
      <c r="B4" t="s">
        <v>1018</v>
      </c>
    </row>
    <row r="5" spans="1:2" x14ac:dyDescent="0.25">
      <c r="A5" t="s">
        <v>1052</v>
      </c>
      <c r="B5" t="s">
        <v>948</v>
      </c>
    </row>
    <row r="6" spans="1:2" x14ac:dyDescent="0.25">
      <c r="A6" t="s">
        <v>650</v>
      </c>
      <c r="B6" t="s">
        <v>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TipComp</vt:lpstr>
      <vt:lpstr>Equivalencias_DescObras</vt:lpstr>
      <vt:lpstr>Obras_Gerencias</vt:lpstr>
      <vt:lpstr>Hoja1</vt:lpstr>
      <vt:lpstr>Fuente</vt:lpstr>
      <vt:lpstr>TipoCambio</vt:lpstr>
      <vt:lpstr>Excepciones_Gerencia</vt:lpstr>
      <vt:lpstr>GG_FDL_CentroCosto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Riva</dc:creator>
  <cp:lastModifiedBy>Richard Riva</cp:lastModifiedBy>
  <dcterms:created xsi:type="dcterms:W3CDTF">2026-01-19T15:18:00Z</dcterms:created>
  <dcterms:modified xsi:type="dcterms:W3CDTF">2026-05-05T17:28:06Z</dcterms:modified>
</cp:coreProperties>
</file>